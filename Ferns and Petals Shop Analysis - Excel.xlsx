
<file path=[Content_Types].xml><?xml version="1.0" encoding="utf-8"?>
<Types xmlns="http://schemas.openxmlformats.org/package/2006/content-types">
  <Default Extension="data" ContentType="application/vnd.openxmlformats-officedocument.model+data"/>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customXml/itemProps25.xml" ContentType="application/vnd.openxmlformats-officedocument.customXmlProperties+xml"/>
  <Override PartName="/customXml/itemProps26.xml" ContentType="application/vnd.openxmlformats-officedocument.customXmlProperties+xml"/>
  <Override PartName="/customXml/itemProps27.xml" ContentType="application/vnd.openxmlformats-officedocument.customXmlProperties+xml"/>
  <Override PartName="/customXml/itemProps28.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hidePivotFieldList="1" defaultThemeVersion="202300"/>
  <mc:AlternateContent xmlns:mc="http://schemas.openxmlformats.org/markup-compatibility/2006">
    <mc:Choice Requires="x15">
      <x15ac:absPath xmlns:x15ac="http://schemas.microsoft.com/office/spreadsheetml/2010/11/ac" url="C:\Users\Mahesh Mahajan\Desktop\Excel Source Files\Excel Practice Files Projects Files\"/>
    </mc:Choice>
  </mc:AlternateContent>
  <xr:revisionPtr revIDLastSave="0" documentId="13_ncr:1_{94C75F21-EFB1-43C9-AA5C-5294B65DE540}" xr6:coauthVersionLast="47" xr6:coauthVersionMax="47" xr10:uidLastSave="{00000000-0000-0000-0000-000000000000}"/>
  <bookViews>
    <workbookView xWindow="-108" yWindow="-108" windowWidth="23256" windowHeight="12456" activeTab="1" xr2:uid="{A49B54F9-8931-4E52-8D63-F2FF513BF66A}"/>
  </bookViews>
  <sheets>
    <sheet name="Analysis" sheetId="1" r:id="rId1"/>
    <sheet name="Dashboard" sheetId="2" r:id="rId2"/>
  </sheets>
  <definedNames>
    <definedName name="Slicer_Occasion">#N/A</definedName>
    <definedName name="Slicer_Order_Date__Month">#N/A</definedName>
  </definedNames>
  <calcPr calcId="191029"/>
  <pivotCaches>
    <pivotCache cacheId="205" r:id="rId3"/>
    <pivotCache cacheId="208" r:id="rId4"/>
    <pivotCache cacheId="211" r:id="rId5"/>
    <pivotCache cacheId="214" r:id="rId6"/>
    <pivotCache cacheId="217" r:id="rId7"/>
    <pivotCache cacheId="220" r:id="rId8"/>
    <pivotCache cacheId="223" r:id="rId9"/>
    <pivotCache cacheId="226" r:id="rId10"/>
  </pivotCaches>
  <extLst>
    <ext xmlns:x14="http://schemas.microsoft.com/office/spreadsheetml/2009/9/main" uri="{876F7934-8845-4945-9796-88D515C7AA90}">
      <x14:pivotCaches>
        <pivotCache cacheId="204" r:id="rId11"/>
      </x14:pivotCaches>
    </ext>
    <ext xmlns:x14="http://schemas.microsoft.com/office/spreadsheetml/2009/9/main" uri="{BBE1A952-AA13-448e-AADC-164F8A28A991}">
      <x14:slicerCaches>
        <x14:slicerCache r:id="rId12"/>
        <x14:slicerCache r:id="rId13"/>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products_35b558f4-d0de-4ec9-ac94-86b27dbfcc8e" name="products" connection="Query - products"/>
          <x15:modelTable id="orders_6e689f2e-246f-4c9f-adc7-9167715c856b" name="orders" connection="Query - orders"/>
          <x15:modelTable id="customers_0687b147-a555-410f-9e11-6784163fcd93" name="customers" connection="Query - customers"/>
        </x15:modelTables>
        <x15:modelRelationships>
          <x15:modelRelationship fromTable="orders" fromColumn="Product_ID" toTable="products" toColumn="Product_ID"/>
          <x15:modelRelationship fromTable="orders" fromColumn="Customer_ID" toTable="customers" toColumn="Customer_ID"/>
        </x15:modelRelationships>
        <x15:extLst>
          <ext xmlns:x16="http://schemas.microsoft.com/office/spreadsheetml/2014/11/main" uri="{9835A34E-60A6-4A7C-AAB8-D5F71C897F49}">
            <x16:modelTimeGroupings>
              <x16:modelTimeGrouping tableName="orders" columnName="Order_Date" columnId="Order_Date">
                <x16:calculatedTimeColumn columnName="Order_Date (Month Index)" columnId="Order_Date (Month Index)" contentType="monthsindex" isSelected="1"/>
                <x16:calculatedTimeColumn columnName="Order_Date (Month)" columnId="Order_Date (Month)" contentType="months" isSelected="1"/>
              </x16:modelTimeGrouping>
              <x16:modelTimeGrouping tableName="orders" columnName="Order_Time" columnId="Order_Time">
                <x16:calculatedTimeColumn columnName="Order_Time (Hour)" columnId="Order_Time (Hour)" contentType="hours" isSelected="1"/>
                <x16:calculatedTimeColumn columnName="Order_Time (Minute)" columnId="Order_Time (Minute)" contentType="minutes" isSelected="1"/>
                <x16:calculatedTimeColumn columnName="Order_Time (Second)" columnId="Order_Time (Second)" contentType="second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13" i="1" l="1"/>
  <c r="F13" i="1"/>
  <c r="C13" i="1"/>
  <c r="D13" i="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98A8010C-4509-4A0F-A786-E1A81A06B58F}" name="Query - customers" description="Connection to the 'customers' query in the workbook." type="100" refreshedVersion="8" minRefreshableVersion="5">
    <extLst>
      <ext xmlns:x15="http://schemas.microsoft.com/office/spreadsheetml/2010/11/main" uri="{DE250136-89BD-433C-8126-D09CA5730AF9}">
        <x15:connection id="44d3a5be-e7e9-461f-8f3d-d0b382c2c19a"/>
      </ext>
    </extLst>
  </connection>
  <connection id="2" xr16:uid="{76384B6B-0A81-478A-A542-18ADDEE25A75}" name="Query - orders" description="Connection to the 'orders' query in the workbook." type="100" refreshedVersion="8" minRefreshableVersion="5">
    <extLst>
      <ext xmlns:x15="http://schemas.microsoft.com/office/spreadsheetml/2010/11/main" uri="{DE250136-89BD-433C-8126-D09CA5730AF9}">
        <x15:connection id="0f05f2bc-be16-4cf0-affd-0e6c8a253a9b"/>
      </ext>
    </extLst>
  </connection>
  <connection id="3" xr16:uid="{A7C7A40F-3B15-4AAB-965D-2BDC93B3E1D4}" name="Query - products" description="Connection to the 'products' query in the workbook." type="100" refreshedVersion="8" minRefreshableVersion="5">
    <extLst>
      <ext xmlns:x15="http://schemas.microsoft.com/office/spreadsheetml/2010/11/main" uri="{DE250136-89BD-433C-8126-D09CA5730AF9}">
        <x15:connection id="885aeb41-27c5-4551-86e4-3831deb1af53"/>
      </ext>
    </extLst>
  </connection>
  <connection id="4" xr16:uid="{DA3D4B5C-C982-47CF-9D97-B00EAF976A81}" keepAlive="1" name="ThisWorkbookDataModel" description="Data Model" type="5" refreshedVersion="8" minRefreshableVersion="5">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<sst xmlns="http://schemas.openxmlformats.org/spreadsheetml/2006/main" count="69" uniqueCount="51">
  <si>
    <t>Row Labels</t>
  </si>
  <si>
    <t>Grand Total</t>
  </si>
  <si>
    <t>Average of Delivery Time</t>
  </si>
  <si>
    <t>Total Orders</t>
  </si>
  <si>
    <t>Total Revenue</t>
  </si>
  <si>
    <t>Avg Order Value</t>
  </si>
  <si>
    <t>Female</t>
  </si>
  <si>
    <t>Male</t>
  </si>
  <si>
    <t>Deserunt Box</t>
  </si>
  <si>
    <t>Dolores Gift</t>
  </si>
  <si>
    <t>Harum Pack</t>
  </si>
  <si>
    <t>Magnam Set</t>
  </si>
  <si>
    <t>Quia Gift</t>
  </si>
  <si>
    <t>Cake</t>
  </si>
  <si>
    <t>Colors</t>
  </si>
  <si>
    <t>Mugs</t>
  </si>
  <si>
    <t>Plants</t>
  </si>
  <si>
    <t>Raksha Bandhan</t>
  </si>
  <si>
    <t>Soft Toys</t>
  </si>
  <si>
    <t>Sweets</t>
  </si>
  <si>
    <t>All Occasions</t>
  </si>
  <si>
    <t>Anniversary</t>
  </si>
  <si>
    <t>Birthday</t>
  </si>
  <si>
    <t>Diwali</t>
  </si>
  <si>
    <t>Holi</t>
  </si>
  <si>
    <t>Valentine's Day</t>
  </si>
  <si>
    <t>Occasions</t>
  </si>
  <si>
    <t xml:space="preserve"> Revenue</t>
  </si>
  <si>
    <t>Jan</t>
  </si>
  <si>
    <t>Feb</t>
  </si>
  <si>
    <t>Mar</t>
  </si>
  <si>
    <t>Apr</t>
  </si>
  <si>
    <t>May</t>
  </si>
  <si>
    <t>Jun</t>
  </si>
  <si>
    <t>Jul</t>
  </si>
  <si>
    <t>Aug</t>
  </si>
  <si>
    <t>Sep</t>
  </si>
  <si>
    <t>Oct</t>
  </si>
  <si>
    <t>Nov</t>
  </si>
  <si>
    <t>Dec</t>
  </si>
  <si>
    <t>Bhatpara</t>
  </si>
  <si>
    <t>Bidhannagar</t>
  </si>
  <si>
    <t>Bilaspur</t>
  </si>
  <si>
    <t>Dhanbad</t>
  </si>
  <si>
    <t>Dibrugarh</t>
  </si>
  <si>
    <t>Guntakal</t>
  </si>
  <si>
    <t>Haridwar</t>
  </si>
  <si>
    <t>Imphal</t>
  </si>
  <si>
    <t>Kavali</t>
  </si>
  <si>
    <t>North Dumdum</t>
  </si>
  <si>
    <t>Important KPIS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</si>
</sst>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3">
    <numFmt numFmtId="164" formatCode="&quot;₹&quot;0.0,,&quot;M&quot;"/>
    <numFmt numFmtId="165" formatCode="&quot;₹&quot;0.00"/>
    <numFmt numFmtId="166" formatCode="&quot;₹&quot;0,.&quot;K&quot;"/>
  </numFmts>
  <fonts count="2" x14ac:knownFonts="1">
    <font>
      <sz val="11"/>
      <color theme="1"/>
      <name val="Aptos Narrow"/>
      <family val="2"/>
      <scheme val="minor"/>
    </font>
    <font>
      <b/>
      <sz val="18"/>
      <color rgb="FF009000"/>
      <name val="Aptos Narrow"/>
      <family val="2"/>
      <scheme val="minor"/>
    </font>
  </fonts>
  <fills count="3">
    <fill>
      <patternFill patternType="none"/>
    </fill>
    <fill>
      <patternFill patternType="gray125"/>
    </fill>
    <fill>
      <patternFill patternType="solid">
        <fgColor rgb="FFFFFF0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4">
    <xf numFmtId="0" fontId="0" fillId="0" borderId="0" xfId="0"/>
    <xf numFmtId="0" fontId="0" fillId="2" borderId="1" xfId="0" applyFill="1" applyBorder="1" applyAlignment="1">
      <alignment horizontal="center" vertical="center"/>
    </xf>
    <xf numFmtId="0" fontId="0" fillId="0" borderId="1" xfId="0" applyBorder="1" applyAlignment="1">
      <alignment horizontal="center" vertical="center"/>
    </xf>
    <xf numFmtId="0" fontId="0" fillId="0" borderId="1" xfId="0" pivotButton="1" applyBorder="1" applyAlignment="1">
      <alignment horizontal="center" vertical="center"/>
    </xf>
    <xf numFmtId="164" fontId="0" fillId="0" borderId="1" xfId="0" applyNumberFormat="1" applyBorder="1" applyAlignment="1">
      <alignment horizontal="center" vertical="center"/>
    </xf>
    <xf numFmtId="165" fontId="0" fillId="0" borderId="1" xfId="0" applyNumberFormat="1" applyBorder="1" applyAlignment="1">
      <alignment horizontal="center" vertical="center"/>
    </xf>
    <xf numFmtId="166" fontId="0" fillId="0" borderId="1" xfId="0" applyNumberFormat="1" applyBorder="1" applyAlignment="1">
      <alignment horizontal="center" vertical="center"/>
    </xf>
    <xf numFmtId="0" fontId="0" fillId="0" borderId="1" xfId="0" applyNumberFormat="1" applyBorder="1" applyAlignment="1">
      <alignment horizontal="center" vertical="center"/>
    </xf>
    <xf numFmtId="0" fontId="1" fillId="0" borderId="1" xfId="0" applyFont="1" applyBorder="1" applyAlignment="1">
      <alignment horizontal="center"/>
    </xf>
    <xf numFmtId="0" fontId="0" fillId="0" borderId="1" xfId="0" applyBorder="1" applyAlignment="1">
      <alignment horizontal="center"/>
    </xf>
    <xf numFmtId="166" fontId="0" fillId="0" borderId="1" xfId="0" applyNumberFormat="1" applyFont="1" applyBorder="1"/>
    <xf numFmtId="0" fontId="0" fillId="0" borderId="1" xfId="0" applyFont="1" applyBorder="1"/>
    <xf numFmtId="165" fontId="0" fillId="0" borderId="1" xfId="0" applyNumberFormat="1" applyFont="1" applyBorder="1"/>
    <xf numFmtId="2" fontId="0" fillId="0" borderId="1" xfId="0" applyNumberFormat="1" applyFont="1" applyBorder="1"/>
  </cellXfs>
  <cellStyles count="1">
    <cellStyle name="Normal" xfId="0" builtinId="0"/>
  </cellStyles>
  <dxfs count="144">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vertical="center"/>
    </dxf>
    <dxf>
      <alignment vertical="center"/>
    </dxf>
    <dxf>
      <alignment horizontal="center"/>
    </dxf>
    <dxf>
      <alignment horizontal="center"/>
    </dxf>
    <dxf>
      <numFmt numFmtId="166" formatCode="&quot;₹&quot;0,.&quot;K&quo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vertical="center"/>
    </dxf>
    <dxf>
      <alignment vertical="center"/>
    </dxf>
    <dxf>
      <alignment horizontal="center"/>
    </dxf>
    <dxf>
      <alignment horizontal="center"/>
    </dxf>
    <dxf>
      <numFmt numFmtId="166" formatCode="&quot;₹&quot;0,.&quot;K&quo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vertical="center"/>
    </dxf>
    <dxf>
      <alignment vertical="center"/>
    </dxf>
    <dxf>
      <alignment horizontal="center"/>
    </dxf>
    <dxf>
      <alignment horizontal="center"/>
    </dxf>
    <dxf>
      <numFmt numFmtId="166" formatCode="&quot;₹&quot;0,.&quot;K&quo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vertical="center"/>
    </dxf>
    <dxf>
      <alignment vertic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vertical="center"/>
    </dxf>
    <dxf>
      <alignment vertical="center"/>
    </dxf>
    <dxf>
      <alignment horizontal="center"/>
    </dxf>
    <dxf>
      <alignment horizontal="center"/>
    </dxf>
    <dxf>
      <numFmt numFmtId="166" formatCode="&quot;₹&quot;0,.&quot;K&quo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vertical="center"/>
    </dxf>
    <dxf>
      <alignment vertical="center"/>
    </dxf>
    <dxf>
      <alignment horizontal="center"/>
    </dxf>
    <dxf>
      <alignment horizontal="center"/>
    </dxf>
    <dxf>
      <numFmt numFmtId="166" formatCode="&quot;₹&quot;0,.&quot;K&quot;"/>
    </dxf>
    <dxf>
      <numFmt numFmtId="166" formatCode="&quot;₹&quot;0,.&quot;K&quot;"/>
    </dxf>
    <dxf>
      <numFmt numFmtId="166" formatCode="&quot;₹&quot;0,.&quot;K&quot;"/>
    </dxf>
    <dxf>
      <numFmt numFmtId="166" formatCode="&quot;₹&quot;0,.&quot;K&quot;"/>
    </dxf>
    <dxf>
      <numFmt numFmtId="166" formatCode="&quot;₹&quot;0,.&quot;K&quot;"/>
    </dxf>
    <dxf>
      <numFmt numFmtId="166" formatCode="&quot;₹&quot;0,.&quot;K&quot;"/>
    </dxf>
    <dxf>
      <numFmt numFmtId="166" formatCode="&quot;₹&quot;0,.&quot;K&quot;"/>
    </dxf>
    <dxf>
      <numFmt numFmtId="166" formatCode="&quot;₹&quot;0,.&quot;K&quot;"/>
    </dxf>
    <dxf>
      <numFmt numFmtId="166" formatCode="&quot;₹&quot;0,.&quot;K&quot;"/>
    </dxf>
    <dxf>
      <numFmt numFmtId="166" formatCode="&quot;₹&quot;0,.&quot;K&quot;"/>
    </dxf>
    <dxf>
      <numFmt numFmtId="166" formatCode="&quot;₹&quot;0,.&quot;K&quot;"/>
    </dxf>
    <dxf>
      <numFmt numFmtId="166" formatCode="&quot;₹&quot;0,.&quot;K&quo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vertical="center"/>
    </dxf>
    <dxf>
      <alignment vertical="center"/>
    </dxf>
    <dxf>
      <alignment horizontal="center"/>
    </dxf>
    <dxf>
      <alignment horizontal="center"/>
    </dxf>
    <dxf>
      <numFmt numFmtId="164" formatCode="&quot;₹&quot;0.0,,&quot;M&quot;"/>
    </dxf>
    <dxf>
      <fill>
        <patternFill patternType="solid">
          <bgColor rgb="FFFFFF00"/>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vertical="center"/>
    </dxf>
    <dxf>
      <alignment vertical="center"/>
    </dxf>
    <dxf>
      <alignment vertical="center"/>
    </dxf>
    <dxf>
      <alignment horizontal="center"/>
    </dxf>
    <dxf>
      <alignment horizontal="center"/>
    </dxf>
    <dxf>
      <alignment horizontal="center"/>
    </dxf>
    <dxf>
      <numFmt numFmtId="164" formatCode="&quot;₹&quot;0.0,,&quot;M&quot;"/>
    </dxf>
    <dxf>
      <numFmt numFmtId="165" formatCode="&quot;₹&quot;0.00"/>
    </dxf>
    <dxf>
      <numFmt numFmtId="166" formatCode="&quot;₹&quot;0,.&quot;K&quot;"/>
    </dxf>
    <dxf>
      <alignment horizontal="center"/>
    </dxf>
    <dxf>
      <alignment horizontal="center"/>
    </dxf>
    <dxf>
      <alignment vertical="center"/>
    </dxf>
    <dxf>
      <alignment vertic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6" formatCode="&quot;₹&quot;0,.&quot;K&quot;"/>
    </dxf>
    <dxf>
      <alignment horizontal="center"/>
    </dxf>
    <dxf>
      <alignment horizontal="center"/>
    </dxf>
    <dxf>
      <alignment vertical="center"/>
    </dxf>
    <dxf>
      <alignment vertic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quot;₹&quot;0.0,,&quot;M&quot;"/>
    </dxf>
    <dxf>
      <alignment horizontal="center"/>
    </dxf>
    <dxf>
      <alignment horizontal="center"/>
    </dxf>
    <dxf>
      <alignment vertical="center"/>
    </dxf>
    <dxf>
      <alignment vertic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6" formatCode="&quot;₹&quot;0,.&quot;K&quot;"/>
    </dxf>
    <dxf>
      <alignment horizontal="center"/>
    </dxf>
    <dxf>
      <alignment horizontal="center"/>
    </dxf>
    <dxf>
      <alignment vertical="center"/>
    </dxf>
    <dxf>
      <alignment vertic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6" formatCode="&quot;₹&quot;0,.&quot;K&quot;"/>
    </dxf>
    <dxf>
      <alignment horizontal="center"/>
    </dxf>
    <dxf>
      <alignment horizontal="center"/>
    </dxf>
    <dxf>
      <alignment vertical="center"/>
    </dxf>
    <dxf>
      <alignment vertic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vertical="center"/>
    </dxf>
    <dxf>
      <alignment vertic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5" formatCode="&quot;₹&quot;0.00"/>
    </dxf>
    <dxf>
      <numFmt numFmtId="164" formatCode="&quot;₹&quot;0.0,,&quot;M&quot;"/>
    </dxf>
    <dxf>
      <alignment horizontal="center"/>
    </dxf>
    <dxf>
      <alignment horizontal="center"/>
    </dxf>
    <dxf>
      <alignment horizontal="center"/>
    </dxf>
    <dxf>
      <alignment vertical="center"/>
    </dxf>
    <dxf>
      <alignment vertical="center"/>
    </dxf>
    <dxf>
      <alignment vertic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rgb="FFFFFF00"/>
        </patternFill>
      </fill>
    </dxf>
    <dxf>
      <numFmt numFmtId="166" formatCode="&quot;₹&quot;0,.&quot;K&quot;"/>
    </dxf>
    <dxf>
      <numFmt numFmtId="166" formatCode="&quot;₹&quot;0,.&quot;K&quot;"/>
    </dxf>
    <dxf>
      <numFmt numFmtId="166" formatCode="&quot;₹&quot;0,.&quot;K&quot;"/>
    </dxf>
    <dxf>
      <numFmt numFmtId="166" formatCode="&quot;₹&quot;0,.&quot;K&quot;"/>
    </dxf>
    <dxf>
      <numFmt numFmtId="166" formatCode="&quot;₹&quot;0,.&quot;K&quot;"/>
    </dxf>
    <dxf>
      <numFmt numFmtId="166" formatCode="&quot;₹&quot;0,.&quot;K&quot;"/>
    </dxf>
    <dxf>
      <numFmt numFmtId="166" formatCode="&quot;₹&quot;0,.&quot;K&quot;"/>
    </dxf>
    <dxf>
      <numFmt numFmtId="166" formatCode="&quot;₹&quot;0,.&quot;K&quot;"/>
    </dxf>
    <dxf>
      <numFmt numFmtId="166" formatCode="&quot;₹&quot;0,.&quot;K&quot;"/>
    </dxf>
    <dxf>
      <numFmt numFmtId="166" formatCode="&quot;₹&quot;0,.&quot;K&quot;"/>
    </dxf>
    <dxf>
      <numFmt numFmtId="166" formatCode="&quot;₹&quot;0,.&quot;K&quot;"/>
    </dxf>
    <dxf>
      <numFmt numFmtId="166" formatCode="&quot;₹&quot;0,.&quot;K&quot;"/>
    </dxf>
    <dxf>
      <alignment horizontal="center"/>
    </dxf>
    <dxf>
      <alignment horizontal="center"/>
    </dxf>
    <dxf>
      <alignment vertical="center"/>
    </dxf>
    <dxf>
      <alignment vertic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b/>
        <i val="0"/>
        <color theme="1"/>
      </font>
      <border diagonalUp="0" diagonalDown="0">
        <left style="thin">
          <color auto="1"/>
        </left>
        <right style="thin">
          <color auto="1"/>
        </right>
        <top style="thin">
          <color auto="1"/>
        </top>
        <bottom style="thin">
          <color auto="1"/>
        </bottom>
        <vertical/>
        <horizontal/>
      </border>
    </dxf>
    <dxf>
      <font>
        <color theme="1"/>
      </font>
      <fill>
        <patternFill>
          <bgColor rgb="FF009000"/>
        </patternFill>
      </fill>
      <border diagonalUp="0" diagonalDown="0">
        <left style="thin">
          <color auto="1"/>
        </left>
        <right style="thin">
          <color auto="1"/>
        </right>
        <top style="thin">
          <color auto="1"/>
        </top>
        <bottom style="thin">
          <color auto="1"/>
        </bottom>
        <vertical/>
        <horizontal/>
      </border>
    </dxf>
  </dxfs>
  <tableStyles count="1" defaultTableStyle="TableStyleMedium2" defaultPivotStyle="PivotStyleLight16">
    <tableStyle name="SlicerStyleLight3 2" pivot="0" table="0" count="10" xr9:uid="{78820980-2150-4DD9-A189-529EDC53DA1D}">
      <tableStyleElement type="wholeTable" dxfId="143"/>
      <tableStyleElement type="headerRow" dxfId="142"/>
    </tableStyle>
  </tableStyles>
  <colors>
    <mruColors>
      <color rgb="FFD9F2D0"/>
      <color rgb="FF009000"/>
      <color rgb="FF41D13D"/>
      <color rgb="FF34EE20"/>
    </mruColors>
  </color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6" tint="0.79998168889431442"/>
              <bgColor theme="6"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6" tint="0.59999389629810485"/>
              <bgColor theme="6"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SlicerStyleLight3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microsoft.com/office/2007/relationships/slicerCache" Target="slicerCaches/slicerCache2.xml"/><Relationship Id="rId18" Type="http://schemas.openxmlformats.org/officeDocument/2006/relationships/powerPivotData" Target="model/item.data"/><Relationship Id="rId26" Type="http://schemas.openxmlformats.org/officeDocument/2006/relationships/customXml" Target="../customXml/item7.xml"/><Relationship Id="rId39" Type="http://schemas.openxmlformats.org/officeDocument/2006/relationships/customXml" Target="../customXml/item20.xml"/><Relationship Id="rId21" Type="http://schemas.openxmlformats.org/officeDocument/2006/relationships/customXml" Target="../customXml/item2.xml"/><Relationship Id="rId34" Type="http://schemas.openxmlformats.org/officeDocument/2006/relationships/customXml" Target="../customXml/item15.xml"/><Relationship Id="rId42" Type="http://schemas.openxmlformats.org/officeDocument/2006/relationships/customXml" Target="../customXml/item23.xml"/><Relationship Id="rId47" Type="http://schemas.openxmlformats.org/officeDocument/2006/relationships/customXml" Target="../customXml/item28.xml"/><Relationship Id="rId7" Type="http://schemas.openxmlformats.org/officeDocument/2006/relationships/pivotCacheDefinition" Target="pivotCache/pivotCacheDefinition5.xml"/><Relationship Id="rId2" Type="http://schemas.openxmlformats.org/officeDocument/2006/relationships/worksheet" Target="worksheets/sheet2.xml"/><Relationship Id="rId16" Type="http://schemas.openxmlformats.org/officeDocument/2006/relationships/styles" Target="styles.xml"/><Relationship Id="rId29" Type="http://schemas.openxmlformats.org/officeDocument/2006/relationships/customXml" Target="../customXml/item10.xml"/><Relationship Id="rId1" Type="http://schemas.openxmlformats.org/officeDocument/2006/relationships/worksheet" Target="worksheets/sheet1.xml"/><Relationship Id="rId6" Type="http://schemas.openxmlformats.org/officeDocument/2006/relationships/pivotCacheDefinition" Target="pivotCache/pivotCacheDefinition4.xml"/><Relationship Id="rId11" Type="http://schemas.openxmlformats.org/officeDocument/2006/relationships/pivotCacheDefinition" Target="pivotCache/pivotCacheDefinition9.xml"/><Relationship Id="rId24" Type="http://schemas.openxmlformats.org/officeDocument/2006/relationships/customXml" Target="../customXml/item5.xml"/><Relationship Id="rId32" Type="http://schemas.openxmlformats.org/officeDocument/2006/relationships/customXml" Target="../customXml/item13.xml"/><Relationship Id="rId37" Type="http://schemas.openxmlformats.org/officeDocument/2006/relationships/customXml" Target="../customXml/item18.xml"/><Relationship Id="rId40" Type="http://schemas.openxmlformats.org/officeDocument/2006/relationships/customXml" Target="../customXml/item21.xml"/><Relationship Id="rId45" Type="http://schemas.openxmlformats.org/officeDocument/2006/relationships/customXml" Target="../customXml/item26.xml"/><Relationship Id="rId5" Type="http://schemas.openxmlformats.org/officeDocument/2006/relationships/pivotCacheDefinition" Target="pivotCache/pivotCacheDefinition3.xml"/><Relationship Id="rId15" Type="http://schemas.openxmlformats.org/officeDocument/2006/relationships/connections" Target="connections.xml"/><Relationship Id="rId23" Type="http://schemas.openxmlformats.org/officeDocument/2006/relationships/customXml" Target="../customXml/item4.xml"/><Relationship Id="rId28" Type="http://schemas.openxmlformats.org/officeDocument/2006/relationships/customXml" Target="../customXml/item9.xml"/><Relationship Id="rId36" Type="http://schemas.openxmlformats.org/officeDocument/2006/relationships/customXml" Target="../customXml/item17.xml"/><Relationship Id="rId10" Type="http://schemas.openxmlformats.org/officeDocument/2006/relationships/pivotCacheDefinition" Target="pivotCache/pivotCacheDefinition8.xml"/><Relationship Id="rId19" Type="http://schemas.openxmlformats.org/officeDocument/2006/relationships/calcChain" Target="calcChain.xml"/><Relationship Id="rId31" Type="http://schemas.openxmlformats.org/officeDocument/2006/relationships/customXml" Target="../customXml/item12.xml"/><Relationship Id="rId44" Type="http://schemas.openxmlformats.org/officeDocument/2006/relationships/customXml" Target="../customXml/item25.xml"/><Relationship Id="rId4" Type="http://schemas.openxmlformats.org/officeDocument/2006/relationships/pivotCacheDefinition" Target="pivotCache/pivotCacheDefinition2.xml"/><Relationship Id="rId9" Type="http://schemas.openxmlformats.org/officeDocument/2006/relationships/pivotCacheDefinition" Target="pivotCache/pivotCacheDefinition7.xml"/><Relationship Id="rId14" Type="http://schemas.openxmlformats.org/officeDocument/2006/relationships/theme" Target="theme/theme1.xml"/><Relationship Id="rId22" Type="http://schemas.openxmlformats.org/officeDocument/2006/relationships/customXml" Target="../customXml/item3.xml"/><Relationship Id="rId27" Type="http://schemas.openxmlformats.org/officeDocument/2006/relationships/customXml" Target="../customXml/item8.xml"/><Relationship Id="rId30" Type="http://schemas.openxmlformats.org/officeDocument/2006/relationships/customXml" Target="../customXml/item11.xml"/><Relationship Id="rId35" Type="http://schemas.openxmlformats.org/officeDocument/2006/relationships/customXml" Target="../customXml/item16.xml"/><Relationship Id="rId43" Type="http://schemas.openxmlformats.org/officeDocument/2006/relationships/customXml" Target="../customXml/item24.xml"/><Relationship Id="rId8" Type="http://schemas.openxmlformats.org/officeDocument/2006/relationships/pivotCacheDefinition" Target="pivotCache/pivotCacheDefinition6.xml"/><Relationship Id="rId3" Type="http://schemas.openxmlformats.org/officeDocument/2006/relationships/pivotCacheDefinition" Target="pivotCache/pivotCacheDefinition1.xml"/><Relationship Id="rId12" Type="http://schemas.microsoft.com/office/2007/relationships/slicerCache" Target="slicerCaches/slicerCache1.xml"/><Relationship Id="rId17" Type="http://schemas.openxmlformats.org/officeDocument/2006/relationships/sharedStrings" Target="sharedStrings.xml"/><Relationship Id="rId25" Type="http://schemas.openxmlformats.org/officeDocument/2006/relationships/customXml" Target="../customXml/item6.xml"/><Relationship Id="rId33" Type="http://schemas.openxmlformats.org/officeDocument/2006/relationships/customXml" Target="../customXml/item14.xml"/><Relationship Id="rId38" Type="http://schemas.openxmlformats.org/officeDocument/2006/relationships/customXml" Target="../customXml/item19.xml"/><Relationship Id="rId46" Type="http://schemas.openxmlformats.org/officeDocument/2006/relationships/customXml" Target="../customXml/item27.xml"/><Relationship Id="rId20" Type="http://schemas.openxmlformats.org/officeDocument/2006/relationships/customXml" Target="../customXml/item1.xml"/><Relationship Id="rId41" Type="http://schemas.openxmlformats.org/officeDocument/2006/relationships/customXml" Target="../customXml/item2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[Ferns and Petals Shop Analysis - Excel.xlsx]Analysis!PivotTable5</c:name>
    <c:fmtId val="6"/>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rgbClr val="0090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1829436160277604"/>
          <c:y val="6.5876466435984271E-2"/>
          <c:w val="0.85053157351958331"/>
          <c:h val="0.82178060339630699"/>
        </c:manualLayout>
      </c:layout>
      <c:lineChart>
        <c:grouping val="stacked"/>
        <c:varyColors val="0"/>
        <c:ser>
          <c:idx val="0"/>
          <c:order val="0"/>
          <c:tx>
            <c:strRef>
              <c:f>Analysis!$D$33</c:f>
              <c:strCache>
                <c:ptCount val="1"/>
                <c:pt idx="0">
                  <c:v>Total</c:v>
                </c:pt>
              </c:strCache>
            </c:strRef>
          </c:tx>
          <c:spPr>
            <a:ln w="28575" cap="rnd">
              <a:solidFill>
                <a:srgbClr val="009000"/>
              </a:solidFill>
              <a:round/>
            </a:ln>
            <a:effectLst/>
          </c:spPr>
          <c:marker>
            <c:symbol val="none"/>
          </c:marker>
          <c:cat>
            <c:strRef>
              <c:f>Analysis!$C$34:$C$46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Analysis!$D$34:$D$46</c:f>
              <c:numCache>
                <c:formatCode>"₹"0,."K"</c:formatCode>
                <c:ptCount val="12"/>
                <c:pt idx="0">
                  <c:v>95468</c:v>
                </c:pt>
                <c:pt idx="1">
                  <c:v>704509</c:v>
                </c:pt>
                <c:pt idx="2">
                  <c:v>511823</c:v>
                </c:pt>
                <c:pt idx="3">
                  <c:v>140393</c:v>
                </c:pt>
                <c:pt idx="4">
                  <c:v>150346</c:v>
                </c:pt>
                <c:pt idx="5">
                  <c:v>157913</c:v>
                </c:pt>
                <c:pt idx="6">
                  <c:v>135826</c:v>
                </c:pt>
                <c:pt idx="7">
                  <c:v>737389</c:v>
                </c:pt>
                <c:pt idx="8">
                  <c:v>136938</c:v>
                </c:pt>
                <c:pt idx="9">
                  <c:v>151619</c:v>
                </c:pt>
                <c:pt idx="10">
                  <c:v>449169</c:v>
                </c:pt>
                <c:pt idx="11">
                  <c:v>149591</c:v>
                </c:pt>
              </c:numCache>
            </c:numRef>
          </c:val>
          <c:smooth val="1"/>
          <c:extLst>
            <c:ext xmlns:c16="http://schemas.microsoft.com/office/drawing/2014/chart" uri="{C3380CC4-5D6E-409C-BE32-E72D297353CC}">
              <c16:uniqueId val="{00000000-E4C6-492B-A3AD-2C8DB62BB000}"/>
            </c:ext>
          </c:extLst>
        </c:ser>
        <c:dLbls>
          <c:showLegendKey val="0"/>
          <c:showVal val="0"/>
          <c:showCatName val="0"/>
          <c:showSerName val="0"/>
          <c:showPercent val="0"/>
          <c:showBubbleSize val="0"/>
        </c:dLbls>
        <c:smooth val="0"/>
        <c:axId val="1436239999"/>
        <c:axId val="1436241439"/>
      </c:lineChart>
      <c:catAx>
        <c:axId val="143623999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lgn="ctr">
              <a:defRPr lang="en-US" sz="900" b="1" i="0" u="none" strike="noStrike" kern="1200" baseline="0">
                <a:solidFill>
                  <a:schemeClr val="tx1">
                    <a:lumMod val="65000"/>
                    <a:lumOff val="35000"/>
                  </a:schemeClr>
                </a:solidFill>
                <a:latin typeface="+mn-lt"/>
                <a:ea typeface="+mn-ea"/>
                <a:cs typeface="+mn-cs"/>
              </a:defRPr>
            </a:pPr>
            <a:endParaRPr lang="en-US"/>
          </a:p>
        </c:txPr>
        <c:crossAx val="1436241439"/>
        <c:crosses val="autoZero"/>
        <c:auto val="1"/>
        <c:lblAlgn val="ctr"/>
        <c:lblOffset val="100"/>
        <c:noMultiLvlLbl val="0"/>
      </c:catAx>
      <c:valAx>
        <c:axId val="1436241439"/>
        <c:scaling>
          <c:orientation val="minMax"/>
        </c:scaling>
        <c:delete val="0"/>
        <c:axPos val="l"/>
        <c:majorGridlines>
          <c:spPr>
            <a:ln w="9525" cap="sq" cmpd="sng" algn="ctr">
              <a:solidFill>
                <a:srgbClr val="009000">
                  <a:alpha val="29000"/>
                </a:srgbClr>
              </a:solidFill>
              <a:prstDash val="sysDash"/>
              <a:round/>
            </a:ln>
            <a:effectLst/>
          </c:spPr>
        </c:majorGridlines>
        <c:numFmt formatCode="&quot;₹&quot;0,.&quot;K&quot;" sourceLinked="1"/>
        <c:majorTickMark val="none"/>
        <c:minorTickMark val="none"/>
        <c:tickLblPos val="nextTo"/>
        <c:spPr>
          <a:noFill/>
          <a:ln>
            <a:noFill/>
          </a:ln>
          <a:effectLst/>
        </c:spPr>
        <c:txPr>
          <a:bodyPr rot="-60000000" spcFirstLastPara="1" vertOverflow="ellipsis" vert="horz" wrap="square" anchor="ctr" anchorCtr="1"/>
          <a:lstStyle/>
          <a:p>
            <a:pPr algn="ctr">
              <a:defRPr lang="en-US" sz="900" b="1" i="0" u="none" strike="noStrike" kern="1200" baseline="0">
                <a:solidFill>
                  <a:schemeClr val="tx1">
                    <a:lumMod val="65000"/>
                    <a:lumOff val="35000"/>
                  </a:schemeClr>
                </a:solidFill>
                <a:latin typeface="+mn-lt"/>
                <a:ea typeface="+mn-ea"/>
                <a:cs typeface="+mn-cs"/>
              </a:defRPr>
            </a:pPr>
            <a:endParaRPr lang="en-US"/>
          </a:p>
        </c:txPr>
        <c:crossAx val="143623999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D9F2D0"/>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[Ferns and Petals Shop Analysis - Excel.xlsx]Analysis!PivotTable6</c:name>
    <c:fmtId val="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009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2884771557792979"/>
          <c:y val="3.8235037453868824E-2"/>
          <c:w val="0.87115228442207004"/>
          <c:h val="0.79029608505991245"/>
        </c:manualLayout>
      </c:layout>
      <c:barChart>
        <c:barDir val="col"/>
        <c:grouping val="clustered"/>
        <c:varyColors val="0"/>
        <c:ser>
          <c:idx val="0"/>
          <c:order val="0"/>
          <c:tx>
            <c:strRef>
              <c:f>Analysis!$G$33</c:f>
              <c:strCache>
                <c:ptCount val="1"/>
                <c:pt idx="0">
                  <c:v>Total</c:v>
                </c:pt>
              </c:strCache>
            </c:strRef>
          </c:tx>
          <c:spPr>
            <a:solidFill>
              <a:srgbClr val="009000"/>
            </a:solidFill>
            <a:ln>
              <a:noFill/>
            </a:ln>
            <a:effectLst/>
          </c:spPr>
          <c:invertIfNegative val="0"/>
          <c:cat>
            <c:strRef>
              <c:f>Analysis!$F$34:$F$41</c:f>
              <c:strCache>
                <c:ptCount val="7"/>
                <c:pt idx="0">
                  <c:v>Colors</c:v>
                </c:pt>
                <c:pt idx="1">
                  <c:v>Soft Toys</c:v>
                </c:pt>
                <c:pt idx="2">
                  <c:v>Sweets</c:v>
                </c:pt>
                <c:pt idx="3">
                  <c:v>Cake</c:v>
                </c:pt>
                <c:pt idx="4">
                  <c:v>Raksha Bandhan</c:v>
                </c:pt>
                <c:pt idx="5">
                  <c:v>Plants</c:v>
                </c:pt>
                <c:pt idx="6">
                  <c:v>Mugs</c:v>
                </c:pt>
              </c:strCache>
            </c:strRef>
          </c:cat>
          <c:val>
            <c:numRef>
              <c:f>Analysis!$G$34:$G$41</c:f>
              <c:numCache>
                <c:formatCode>"₹"0,."K"</c:formatCode>
                <c:ptCount val="7"/>
                <c:pt idx="0">
                  <c:v>1005645</c:v>
                </c:pt>
                <c:pt idx="1">
                  <c:v>740831</c:v>
                </c:pt>
                <c:pt idx="2">
                  <c:v>733842</c:v>
                </c:pt>
                <c:pt idx="3">
                  <c:v>329862</c:v>
                </c:pt>
                <c:pt idx="4">
                  <c:v>297372</c:v>
                </c:pt>
                <c:pt idx="5">
                  <c:v>212281</c:v>
                </c:pt>
                <c:pt idx="6">
                  <c:v>201151</c:v>
                </c:pt>
              </c:numCache>
            </c:numRef>
          </c:val>
          <c:extLst>
            <c:ext xmlns:c16="http://schemas.microsoft.com/office/drawing/2014/chart" uri="{C3380CC4-5D6E-409C-BE32-E72D297353CC}">
              <c16:uniqueId val="{00000000-C601-45CA-8F59-D44A57992ADD}"/>
            </c:ext>
          </c:extLst>
        </c:ser>
        <c:dLbls>
          <c:showLegendKey val="0"/>
          <c:showVal val="0"/>
          <c:showCatName val="0"/>
          <c:showSerName val="0"/>
          <c:showPercent val="0"/>
          <c:showBubbleSize val="0"/>
        </c:dLbls>
        <c:gapWidth val="219"/>
        <c:overlap val="-27"/>
        <c:axId val="1436235199"/>
        <c:axId val="1436235679"/>
      </c:barChart>
      <c:catAx>
        <c:axId val="143623519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436235679"/>
        <c:crosses val="autoZero"/>
        <c:auto val="1"/>
        <c:lblAlgn val="ctr"/>
        <c:lblOffset val="100"/>
        <c:noMultiLvlLbl val="0"/>
      </c:catAx>
      <c:valAx>
        <c:axId val="1436235679"/>
        <c:scaling>
          <c:orientation val="minMax"/>
        </c:scaling>
        <c:delete val="0"/>
        <c:axPos val="l"/>
        <c:majorGridlines>
          <c:spPr>
            <a:ln w="9525" cap="sq" cmpd="sng" algn="ctr">
              <a:solidFill>
                <a:srgbClr val="009000">
                  <a:alpha val="29000"/>
                </a:srgbClr>
              </a:solidFill>
              <a:prstDash val="sysDash"/>
              <a:round/>
            </a:ln>
            <a:effectLst/>
          </c:spPr>
        </c:majorGridlines>
        <c:numFmt formatCode="&quot;₹&quot;0,.&quot;K&quot;"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43623519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D9F2D0"/>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[Ferns and Petals Shop Analysis - Excel.xlsx]Analysis!PivotTable4</c:name>
    <c:fmtId val="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009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4690528088022897"/>
          <c:y val="5.4376214695899316E-2"/>
          <c:w val="0.85309471911977108"/>
          <c:h val="0.77340727781633789"/>
        </c:manualLayout>
      </c:layout>
      <c:barChart>
        <c:barDir val="col"/>
        <c:grouping val="clustered"/>
        <c:varyColors val="0"/>
        <c:ser>
          <c:idx val="0"/>
          <c:order val="0"/>
          <c:tx>
            <c:strRef>
              <c:f>Analysis!$G$19</c:f>
              <c:strCache>
                <c:ptCount val="1"/>
                <c:pt idx="0">
                  <c:v>Total</c:v>
                </c:pt>
              </c:strCache>
            </c:strRef>
          </c:tx>
          <c:spPr>
            <a:solidFill>
              <a:srgbClr val="009000"/>
            </a:solidFill>
            <a:ln>
              <a:noFill/>
            </a:ln>
            <a:effectLst/>
          </c:spPr>
          <c:invertIfNegative val="0"/>
          <c:cat>
            <c:strRef>
              <c:f>Analysis!$F$20:$F$27</c:f>
              <c:strCache>
                <c:ptCount val="7"/>
                <c:pt idx="0">
                  <c:v>Anniversary</c:v>
                </c:pt>
                <c:pt idx="1">
                  <c:v>Raksha Bandhan</c:v>
                </c:pt>
                <c:pt idx="2">
                  <c:v>All Occasions</c:v>
                </c:pt>
                <c:pt idx="3">
                  <c:v>Holi</c:v>
                </c:pt>
                <c:pt idx="4">
                  <c:v>Birthday</c:v>
                </c:pt>
                <c:pt idx="5">
                  <c:v>Valentine's Day</c:v>
                </c:pt>
                <c:pt idx="6">
                  <c:v>Diwali</c:v>
                </c:pt>
              </c:strCache>
            </c:strRef>
          </c:cat>
          <c:val>
            <c:numRef>
              <c:f>Analysis!$G$20:$G$27</c:f>
              <c:numCache>
                <c:formatCode>"₹"0,."K"</c:formatCode>
                <c:ptCount val="7"/>
                <c:pt idx="0">
                  <c:v>674634</c:v>
                </c:pt>
                <c:pt idx="1">
                  <c:v>631585</c:v>
                </c:pt>
                <c:pt idx="2">
                  <c:v>586176</c:v>
                </c:pt>
                <c:pt idx="3">
                  <c:v>574682</c:v>
                </c:pt>
                <c:pt idx="4">
                  <c:v>408194</c:v>
                </c:pt>
                <c:pt idx="5">
                  <c:v>331930</c:v>
                </c:pt>
                <c:pt idx="6">
                  <c:v>313783</c:v>
                </c:pt>
              </c:numCache>
            </c:numRef>
          </c:val>
          <c:extLst>
            <c:ext xmlns:c16="http://schemas.microsoft.com/office/drawing/2014/chart" uri="{C3380CC4-5D6E-409C-BE32-E72D297353CC}">
              <c16:uniqueId val="{00000000-E913-4D78-8414-F983E15F45DB}"/>
            </c:ext>
          </c:extLst>
        </c:ser>
        <c:dLbls>
          <c:showLegendKey val="0"/>
          <c:showVal val="0"/>
          <c:showCatName val="0"/>
          <c:showSerName val="0"/>
          <c:showPercent val="0"/>
          <c:showBubbleSize val="0"/>
        </c:dLbls>
        <c:gapWidth val="219"/>
        <c:overlap val="-27"/>
        <c:axId val="2019190383"/>
        <c:axId val="2019188463"/>
      </c:barChart>
      <c:catAx>
        <c:axId val="201919038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lgn="ctr">
              <a:defRPr lang="en-US" sz="900" b="1" i="0" u="none" strike="noStrike" kern="1200" baseline="0">
                <a:solidFill>
                  <a:schemeClr val="tx1">
                    <a:lumMod val="65000"/>
                    <a:lumOff val="35000"/>
                  </a:schemeClr>
                </a:solidFill>
                <a:latin typeface="+mn-lt"/>
                <a:ea typeface="+mn-ea"/>
                <a:cs typeface="+mn-cs"/>
              </a:defRPr>
            </a:pPr>
            <a:endParaRPr lang="en-US"/>
          </a:p>
        </c:txPr>
        <c:crossAx val="2019188463"/>
        <c:crosses val="autoZero"/>
        <c:auto val="1"/>
        <c:lblAlgn val="ctr"/>
        <c:lblOffset val="100"/>
        <c:noMultiLvlLbl val="0"/>
      </c:catAx>
      <c:valAx>
        <c:axId val="2019188463"/>
        <c:scaling>
          <c:orientation val="minMax"/>
        </c:scaling>
        <c:delete val="0"/>
        <c:axPos val="l"/>
        <c:majorGridlines>
          <c:spPr>
            <a:ln w="9525" cap="flat" cmpd="sng" algn="ctr">
              <a:solidFill>
                <a:srgbClr val="009000">
                  <a:alpha val="29000"/>
                </a:srgbClr>
              </a:solidFill>
              <a:prstDash val="sysDash"/>
              <a:round/>
            </a:ln>
            <a:effectLst/>
          </c:spPr>
        </c:majorGridlines>
        <c:numFmt formatCode="&quot;₹&quot;0,.&quot;K&quot;" sourceLinked="1"/>
        <c:majorTickMark val="none"/>
        <c:minorTickMark val="none"/>
        <c:tickLblPos val="nextTo"/>
        <c:spPr>
          <a:noFill/>
          <a:ln>
            <a:noFill/>
          </a:ln>
          <a:effectLst/>
        </c:spPr>
        <c:txPr>
          <a:bodyPr rot="-60000000" spcFirstLastPara="1" vertOverflow="ellipsis" vert="horz" wrap="square" anchor="ctr" anchorCtr="1"/>
          <a:lstStyle/>
          <a:p>
            <a:pPr algn="ctr">
              <a:defRPr lang="en-US" sz="900" b="1" i="0" u="none" strike="noStrike" kern="1200" baseline="0">
                <a:solidFill>
                  <a:schemeClr val="tx1">
                    <a:lumMod val="65000"/>
                    <a:lumOff val="35000"/>
                  </a:schemeClr>
                </a:solidFill>
                <a:latin typeface="+mn-lt"/>
                <a:ea typeface="+mn-ea"/>
                <a:cs typeface="+mn-cs"/>
              </a:defRPr>
            </a:pPr>
            <a:endParaRPr lang="en-US"/>
          </a:p>
        </c:txPr>
        <c:crossAx val="201919038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D9F2D0"/>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[Ferns and Petals Shop Analysis - Excel.xlsx]Analysis!PivotTable7</c:name>
    <c:fmtId val="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009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6.3157146577159054E-2"/>
          <c:y val="3.3395155823314704E-2"/>
          <c:w val="0.90781010127796069"/>
          <c:h val="0.70567499818075274"/>
        </c:manualLayout>
      </c:layout>
      <c:barChart>
        <c:barDir val="col"/>
        <c:grouping val="clustered"/>
        <c:varyColors val="0"/>
        <c:ser>
          <c:idx val="0"/>
          <c:order val="0"/>
          <c:tx>
            <c:strRef>
              <c:f>Analysis!$D$53</c:f>
              <c:strCache>
                <c:ptCount val="1"/>
                <c:pt idx="0">
                  <c:v>Total</c:v>
                </c:pt>
              </c:strCache>
            </c:strRef>
          </c:tx>
          <c:spPr>
            <a:solidFill>
              <a:srgbClr val="009000"/>
            </a:solidFill>
            <a:ln>
              <a:noFill/>
            </a:ln>
            <a:effectLst/>
          </c:spPr>
          <c:invertIfNegative val="0"/>
          <c:cat>
            <c:strRef>
              <c:f>Analysis!$C$54:$C$64</c:f>
              <c:strCache>
                <c:ptCount val="10"/>
                <c:pt idx="0">
                  <c:v>Imphal</c:v>
                </c:pt>
                <c:pt idx="1">
                  <c:v>Dhanbad</c:v>
                </c:pt>
                <c:pt idx="2">
                  <c:v>Kavali</c:v>
                </c:pt>
                <c:pt idx="3">
                  <c:v>Haridwar</c:v>
                </c:pt>
                <c:pt idx="4">
                  <c:v>Bidhannagar</c:v>
                </c:pt>
                <c:pt idx="5">
                  <c:v>Dibrugarh</c:v>
                </c:pt>
                <c:pt idx="6">
                  <c:v>Guntakal</c:v>
                </c:pt>
                <c:pt idx="7">
                  <c:v>North Dumdum</c:v>
                </c:pt>
                <c:pt idx="8">
                  <c:v>Bilaspur</c:v>
                </c:pt>
                <c:pt idx="9">
                  <c:v>Bhatpara</c:v>
                </c:pt>
              </c:strCache>
            </c:strRef>
          </c:cat>
          <c:val>
            <c:numRef>
              <c:f>Analysis!$D$54:$D$64</c:f>
              <c:numCache>
                <c:formatCode>General</c:formatCode>
                <c:ptCount val="10"/>
                <c:pt idx="0">
                  <c:v>29</c:v>
                </c:pt>
                <c:pt idx="1">
                  <c:v>28</c:v>
                </c:pt>
                <c:pt idx="2">
                  <c:v>27</c:v>
                </c:pt>
                <c:pt idx="3">
                  <c:v>24</c:v>
                </c:pt>
                <c:pt idx="4">
                  <c:v>21</c:v>
                </c:pt>
                <c:pt idx="5">
                  <c:v>21</c:v>
                </c:pt>
                <c:pt idx="6">
                  <c:v>20</c:v>
                </c:pt>
                <c:pt idx="7">
                  <c:v>19</c:v>
                </c:pt>
                <c:pt idx="8">
                  <c:v>18</c:v>
                </c:pt>
                <c:pt idx="9">
                  <c:v>18</c:v>
                </c:pt>
              </c:numCache>
            </c:numRef>
          </c:val>
          <c:extLst>
            <c:ext xmlns:c16="http://schemas.microsoft.com/office/drawing/2014/chart" uri="{C3380CC4-5D6E-409C-BE32-E72D297353CC}">
              <c16:uniqueId val="{00000000-53D4-41B9-ADE0-DD4461ACC27F}"/>
            </c:ext>
          </c:extLst>
        </c:ser>
        <c:dLbls>
          <c:showLegendKey val="0"/>
          <c:showVal val="0"/>
          <c:showCatName val="0"/>
          <c:showSerName val="0"/>
          <c:showPercent val="0"/>
          <c:showBubbleSize val="0"/>
        </c:dLbls>
        <c:gapWidth val="219"/>
        <c:overlap val="-27"/>
        <c:axId val="2019173583"/>
        <c:axId val="2019175983"/>
      </c:barChart>
      <c:catAx>
        <c:axId val="201917358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lgn="ctr">
              <a:defRPr lang="en-US" sz="900" b="1" i="0" u="none" strike="noStrike" kern="1200" baseline="0">
                <a:solidFill>
                  <a:schemeClr val="tx1">
                    <a:lumMod val="65000"/>
                    <a:lumOff val="35000"/>
                  </a:schemeClr>
                </a:solidFill>
                <a:latin typeface="+mn-lt"/>
                <a:ea typeface="+mn-ea"/>
                <a:cs typeface="+mn-cs"/>
              </a:defRPr>
            </a:pPr>
            <a:endParaRPr lang="en-US"/>
          </a:p>
        </c:txPr>
        <c:crossAx val="2019175983"/>
        <c:crosses val="autoZero"/>
        <c:auto val="1"/>
        <c:lblAlgn val="ctr"/>
        <c:lblOffset val="100"/>
        <c:noMultiLvlLbl val="0"/>
      </c:catAx>
      <c:valAx>
        <c:axId val="2019175983"/>
        <c:scaling>
          <c:orientation val="minMax"/>
        </c:scaling>
        <c:delete val="0"/>
        <c:axPos val="l"/>
        <c:majorGridlines>
          <c:spPr>
            <a:ln w="9525" cap="flat" cmpd="sng" algn="ctr">
              <a:solidFill>
                <a:srgbClr val="009000">
                  <a:alpha val="29000"/>
                </a:srgbClr>
              </a:solidFill>
              <a:prstDash val="sysDash"/>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lgn="ctr">
              <a:defRPr lang="en-US" sz="900" b="1" i="0" u="none" strike="noStrike" kern="1200" baseline="0">
                <a:solidFill>
                  <a:schemeClr val="tx1">
                    <a:lumMod val="65000"/>
                    <a:lumOff val="35000"/>
                  </a:schemeClr>
                </a:solidFill>
                <a:latin typeface="+mn-lt"/>
                <a:ea typeface="+mn-ea"/>
                <a:cs typeface="+mn-cs"/>
              </a:defRPr>
            </a:pPr>
            <a:endParaRPr lang="en-US"/>
          </a:p>
        </c:txPr>
        <c:crossAx val="201917358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D9F2D0"/>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[Ferns and Petals Shop Analysis - Excel.xlsx]Analysis!PivotTable8</c:name>
    <c:fmtId val="4"/>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009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Analysis!$G$53</c:f>
              <c:strCache>
                <c:ptCount val="1"/>
                <c:pt idx="0">
                  <c:v>Total</c:v>
                </c:pt>
              </c:strCache>
            </c:strRef>
          </c:tx>
          <c:spPr>
            <a:solidFill>
              <a:srgbClr val="009000"/>
            </a:solidFill>
            <a:ln>
              <a:noFill/>
            </a:ln>
            <a:effectLst/>
          </c:spPr>
          <c:invertIfNegative val="0"/>
          <c:cat>
            <c:strRef>
              <c:f>Analysis!$F$54:$F$59</c:f>
              <c:strCache>
                <c:ptCount val="5"/>
                <c:pt idx="0">
                  <c:v>Deserunt Box</c:v>
                </c:pt>
                <c:pt idx="1">
                  <c:v>Dolores Gift</c:v>
                </c:pt>
                <c:pt idx="2">
                  <c:v>Harum Pack</c:v>
                </c:pt>
                <c:pt idx="3">
                  <c:v>Magnam Set</c:v>
                </c:pt>
                <c:pt idx="4">
                  <c:v>Quia Gift</c:v>
                </c:pt>
              </c:strCache>
            </c:strRef>
          </c:cat>
          <c:val>
            <c:numRef>
              <c:f>Analysis!$G$54:$G$59</c:f>
              <c:numCache>
                <c:formatCode>"₹"0,."K"</c:formatCode>
                <c:ptCount val="5"/>
                <c:pt idx="0">
                  <c:v>97665</c:v>
                </c:pt>
                <c:pt idx="1">
                  <c:v>106624</c:v>
                </c:pt>
                <c:pt idx="2">
                  <c:v>101556</c:v>
                </c:pt>
                <c:pt idx="3">
                  <c:v>121905</c:v>
                </c:pt>
                <c:pt idx="4">
                  <c:v>114476</c:v>
                </c:pt>
              </c:numCache>
            </c:numRef>
          </c:val>
          <c:extLst>
            <c:ext xmlns:c16="http://schemas.microsoft.com/office/drawing/2014/chart" uri="{C3380CC4-5D6E-409C-BE32-E72D297353CC}">
              <c16:uniqueId val="{00000000-1DCB-4FEB-BA05-07FAB0A50E5A}"/>
            </c:ext>
          </c:extLst>
        </c:ser>
        <c:dLbls>
          <c:showLegendKey val="0"/>
          <c:showVal val="0"/>
          <c:showCatName val="0"/>
          <c:showSerName val="0"/>
          <c:showPercent val="0"/>
          <c:showBubbleSize val="0"/>
        </c:dLbls>
        <c:gapWidth val="219"/>
        <c:overlap val="-27"/>
        <c:axId val="197338591"/>
        <c:axId val="197346271"/>
      </c:barChart>
      <c:catAx>
        <c:axId val="19733859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lgn="ctr">
              <a:defRPr lang="en-US" sz="900" b="1" i="0" u="none" strike="noStrike" kern="1200" baseline="0">
                <a:solidFill>
                  <a:schemeClr val="tx1">
                    <a:lumMod val="65000"/>
                    <a:lumOff val="35000"/>
                  </a:schemeClr>
                </a:solidFill>
                <a:latin typeface="+mn-lt"/>
                <a:ea typeface="+mn-ea"/>
                <a:cs typeface="+mn-cs"/>
              </a:defRPr>
            </a:pPr>
            <a:endParaRPr lang="en-US"/>
          </a:p>
        </c:txPr>
        <c:crossAx val="197346271"/>
        <c:crosses val="autoZero"/>
        <c:auto val="1"/>
        <c:lblAlgn val="ctr"/>
        <c:lblOffset val="100"/>
        <c:noMultiLvlLbl val="0"/>
      </c:catAx>
      <c:valAx>
        <c:axId val="197346271"/>
        <c:scaling>
          <c:orientation val="minMax"/>
        </c:scaling>
        <c:delete val="0"/>
        <c:axPos val="l"/>
        <c:majorGridlines>
          <c:spPr>
            <a:ln w="9525" cap="flat" cmpd="sng" algn="ctr">
              <a:solidFill>
                <a:srgbClr val="009000">
                  <a:alpha val="29000"/>
                </a:srgbClr>
              </a:solidFill>
              <a:prstDash val="sysDash"/>
              <a:round/>
            </a:ln>
            <a:effectLst/>
          </c:spPr>
        </c:majorGridlines>
        <c:numFmt formatCode="&quot;₹&quot;0,.&quot;K&quot;" sourceLinked="1"/>
        <c:majorTickMark val="none"/>
        <c:minorTickMark val="none"/>
        <c:tickLblPos val="nextTo"/>
        <c:spPr>
          <a:noFill/>
          <a:ln>
            <a:noFill/>
          </a:ln>
          <a:effectLst/>
        </c:spPr>
        <c:txPr>
          <a:bodyPr rot="-60000000" spcFirstLastPara="1" vertOverflow="ellipsis" vert="horz" wrap="square" anchor="ctr" anchorCtr="1"/>
          <a:lstStyle/>
          <a:p>
            <a:pPr algn="ctr">
              <a:defRPr lang="en-US" sz="900" b="1" i="0" u="none" strike="noStrike" kern="1200" baseline="0">
                <a:solidFill>
                  <a:schemeClr val="tx1">
                    <a:lumMod val="65000"/>
                    <a:lumOff val="35000"/>
                  </a:schemeClr>
                </a:solidFill>
                <a:latin typeface="+mn-lt"/>
                <a:ea typeface="+mn-ea"/>
                <a:cs typeface="+mn-cs"/>
              </a:defRPr>
            </a:pPr>
            <a:endParaRPr lang="en-US"/>
          </a:p>
        </c:txPr>
        <c:crossAx val="19733859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D9F2D0"/>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[Ferns and Petals Shop Analysis - Excel.xlsx]Analysis!PivotTable1</c:name>
    <c:fmtId val="6"/>
  </c:pivotSource>
  <c:chart>
    <c:autoTitleDeleted val="1"/>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rgbClr val="0090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1" i="0" u="none" strike="noStrike" kern="1200" baseline="0">
                  <a:solidFill>
                    <a:schemeClr val="tx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Analysis!$K$54</c:f>
              <c:strCache>
                <c:ptCount val="1"/>
                <c:pt idx="0">
                  <c:v>Total</c:v>
                </c:pt>
              </c:strCache>
            </c:strRef>
          </c:tx>
          <c:spPr>
            <a:ln w="28575" cap="rnd">
              <a:solidFill>
                <a:srgbClr val="009000"/>
              </a:solidFill>
              <a:round/>
            </a:ln>
            <a:effectLst/>
          </c:spPr>
          <c:marker>
            <c:symbol val="none"/>
          </c:marker>
          <c:cat>
            <c:strRef>
              <c:f>Analysis!$J$55:$J$79</c:f>
              <c:strCache>
                <c:ptCount val="24"/>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strCache>
            </c:strRef>
          </c:cat>
          <c:val>
            <c:numRef>
              <c:f>Analysis!$K$55:$K$79</c:f>
              <c:numCache>
                <c:formatCode>"₹"0,."K"</c:formatCode>
                <c:ptCount val="24"/>
                <c:pt idx="0">
                  <c:v>99400</c:v>
                </c:pt>
                <c:pt idx="1">
                  <c:v>129309</c:v>
                </c:pt>
                <c:pt idx="2">
                  <c:v>152940</c:v>
                </c:pt>
                <c:pt idx="3">
                  <c:v>146810</c:v>
                </c:pt>
                <c:pt idx="4">
                  <c:v>114700</c:v>
                </c:pt>
                <c:pt idx="5">
                  <c:v>156198</c:v>
                </c:pt>
                <c:pt idx="6">
                  <c:v>177211</c:v>
                </c:pt>
                <c:pt idx="7">
                  <c:v>147749</c:v>
                </c:pt>
                <c:pt idx="8">
                  <c:v>133617</c:v>
                </c:pt>
                <c:pt idx="9">
                  <c:v>153678</c:v>
                </c:pt>
                <c:pt idx="10">
                  <c:v>94985</c:v>
                </c:pt>
                <c:pt idx="11">
                  <c:v>130287</c:v>
                </c:pt>
                <c:pt idx="12">
                  <c:v>162394</c:v>
                </c:pt>
                <c:pt idx="13">
                  <c:v>152340</c:v>
                </c:pt>
                <c:pt idx="14">
                  <c:v>126406</c:v>
                </c:pt>
                <c:pt idx="15">
                  <c:v>163586</c:v>
                </c:pt>
                <c:pt idx="16">
                  <c:v>128797</c:v>
                </c:pt>
                <c:pt idx="17">
                  <c:v>155373</c:v>
                </c:pt>
                <c:pt idx="18">
                  <c:v>173118</c:v>
                </c:pt>
                <c:pt idx="19">
                  <c:v>185771</c:v>
                </c:pt>
                <c:pt idx="20">
                  <c:v>186426</c:v>
                </c:pt>
                <c:pt idx="21">
                  <c:v>155466</c:v>
                </c:pt>
                <c:pt idx="22">
                  <c:v>125912</c:v>
                </c:pt>
                <c:pt idx="23">
                  <c:v>168511</c:v>
                </c:pt>
              </c:numCache>
            </c:numRef>
          </c:val>
          <c:smooth val="0"/>
          <c:extLst>
            <c:ext xmlns:c16="http://schemas.microsoft.com/office/drawing/2014/chart" uri="{C3380CC4-5D6E-409C-BE32-E72D297353CC}">
              <c16:uniqueId val="{00000001-5C05-420B-9D98-381E7E1273E1}"/>
            </c:ext>
          </c:extLst>
        </c:ser>
        <c:dLbls>
          <c:showLegendKey val="0"/>
          <c:showVal val="0"/>
          <c:showCatName val="0"/>
          <c:showSerName val="0"/>
          <c:showPercent val="0"/>
          <c:showBubbleSize val="0"/>
        </c:dLbls>
        <c:smooth val="0"/>
        <c:axId val="423305664"/>
        <c:axId val="423306144"/>
      </c:lineChart>
      <c:catAx>
        <c:axId val="4233056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900" b="1" i="0" u="none" strike="noStrike" kern="1200" baseline="0">
                <a:solidFill>
                  <a:schemeClr val="tx1">
                    <a:lumMod val="65000"/>
                    <a:lumOff val="35000"/>
                  </a:schemeClr>
                </a:solidFill>
                <a:latin typeface="+mn-lt"/>
                <a:ea typeface="+mn-ea"/>
                <a:cs typeface="+mn-cs"/>
              </a:defRPr>
            </a:pPr>
            <a:endParaRPr lang="en-US"/>
          </a:p>
        </c:txPr>
        <c:crossAx val="423306144"/>
        <c:crosses val="autoZero"/>
        <c:auto val="1"/>
        <c:lblAlgn val="ctr"/>
        <c:lblOffset val="100"/>
        <c:noMultiLvlLbl val="0"/>
      </c:catAx>
      <c:valAx>
        <c:axId val="423306144"/>
        <c:scaling>
          <c:orientation val="minMax"/>
        </c:scaling>
        <c:delete val="0"/>
        <c:axPos val="l"/>
        <c:majorGridlines>
          <c:spPr>
            <a:ln w="9525" cap="flat" cmpd="sng" algn="ctr">
              <a:solidFill>
                <a:srgbClr val="009000">
                  <a:alpha val="29000"/>
                </a:srgbClr>
              </a:solidFill>
              <a:prstDash val="sysDash"/>
              <a:round/>
            </a:ln>
            <a:effectLst/>
          </c:spPr>
        </c:majorGridlines>
        <c:numFmt formatCode="&quot;₹&quot;0,.&quot;K&quot;" sourceLinked="1"/>
        <c:majorTickMark val="none"/>
        <c:minorTickMark val="none"/>
        <c:tickLblPos val="nextTo"/>
        <c:spPr>
          <a:noFill/>
          <a:ln>
            <a:noFill/>
          </a:ln>
          <a:effectLst/>
        </c:spPr>
        <c:txPr>
          <a:bodyPr rot="-60000000" spcFirstLastPara="1" vertOverflow="ellipsis" vert="horz" wrap="square" anchor="ctr" anchorCtr="1"/>
          <a:lstStyle/>
          <a:p>
            <a:pPr>
              <a:defRPr lang="en-US" sz="900" b="1" i="0" u="none" strike="noStrike" kern="1200" baseline="0">
                <a:solidFill>
                  <a:schemeClr val="tx1">
                    <a:lumMod val="65000"/>
                    <a:lumOff val="35000"/>
                  </a:schemeClr>
                </a:solidFill>
                <a:latin typeface="+mn-lt"/>
                <a:ea typeface="+mn-ea"/>
                <a:cs typeface="+mn-cs"/>
              </a:defRPr>
            </a:pPr>
            <a:endParaRPr lang="en-US"/>
          </a:p>
        </c:txPr>
        <c:crossAx val="42330566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D9F2D0"/>
    </a:solidFill>
    <a:ln w="9525" cap="flat" cmpd="sng" algn="ctr">
      <a:noFill/>
      <a:round/>
    </a:ln>
    <a:effectLst/>
  </c:spPr>
  <c:txPr>
    <a:bodyPr/>
    <a:lstStyle/>
    <a:p>
      <a:pPr algn="ctr">
        <a:defRPr lang="en-US" sz="900" b="1" i="0" u="none" strike="noStrike" kern="1200" baseline="0">
          <a:solidFill>
            <a:schemeClr val="tx1">
              <a:lumMod val="65000"/>
              <a:lumOff val="35000"/>
            </a:schemeClr>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4.xml"/><Relationship Id="rId13" Type="http://schemas.openxmlformats.org/officeDocument/2006/relationships/hyperlink" Target="#Dashboard!A1"/><Relationship Id="rId3" Type="http://schemas.openxmlformats.org/officeDocument/2006/relationships/image" Target="../media/image3.png"/><Relationship Id="rId7" Type="http://schemas.openxmlformats.org/officeDocument/2006/relationships/chart" Target="../charts/chart3.xml"/><Relationship Id="rId12" Type="http://schemas.openxmlformats.org/officeDocument/2006/relationships/image" Target="../media/image6.png"/><Relationship Id="rId2" Type="http://schemas.openxmlformats.org/officeDocument/2006/relationships/image" Target="../media/image2.png"/><Relationship Id="rId16" Type="http://schemas.openxmlformats.org/officeDocument/2006/relationships/image" Target="../media/image8.png"/><Relationship Id="rId1" Type="http://schemas.openxmlformats.org/officeDocument/2006/relationships/image" Target="../media/image1.png"/><Relationship Id="rId6" Type="http://schemas.openxmlformats.org/officeDocument/2006/relationships/chart" Target="../charts/chart2.xml"/><Relationship Id="rId11" Type="http://schemas.openxmlformats.org/officeDocument/2006/relationships/chart" Target="../charts/chart6.xml"/><Relationship Id="rId5" Type="http://schemas.openxmlformats.org/officeDocument/2006/relationships/chart" Target="../charts/chart1.xml"/><Relationship Id="rId15" Type="http://schemas.openxmlformats.org/officeDocument/2006/relationships/hyperlink" Target="#Analysis!A1"/><Relationship Id="rId10" Type="http://schemas.openxmlformats.org/officeDocument/2006/relationships/image" Target="../media/image5.png"/><Relationship Id="rId4" Type="http://schemas.openxmlformats.org/officeDocument/2006/relationships/image" Target="../media/image4.png"/><Relationship Id="rId9" Type="http://schemas.openxmlformats.org/officeDocument/2006/relationships/chart" Target="../charts/chart5.xml"/><Relationship Id="rId14" Type="http://schemas.openxmlformats.org/officeDocument/2006/relationships/image" Target="../media/image7.png"/></Relationships>
</file>

<file path=xl/drawings/drawing1.xml><?xml version="1.0" encoding="utf-8"?>
<xdr:wsDr xmlns:xdr="http://schemas.openxmlformats.org/drawingml/2006/spreadsheetDrawing" xmlns:a="http://schemas.openxmlformats.org/drawingml/2006/main">
  <xdr:twoCellAnchor>
    <xdr:from>
      <xdr:col>1</xdr:col>
      <xdr:colOff>23115</xdr:colOff>
      <xdr:row>0</xdr:row>
      <xdr:rowOff>111354</xdr:rowOff>
    </xdr:from>
    <xdr:to>
      <xdr:col>30</xdr:col>
      <xdr:colOff>195942</xdr:colOff>
      <xdr:row>38</xdr:row>
      <xdr:rowOff>5763</xdr:rowOff>
    </xdr:to>
    <xdr:sp macro="" textlink="">
      <xdr:nvSpPr>
        <xdr:cNvPr id="2" name="Rectangle 1">
          <a:extLst>
            <a:ext uri="{FF2B5EF4-FFF2-40B4-BE49-F238E27FC236}">
              <a16:creationId xmlns:a16="http://schemas.microsoft.com/office/drawing/2014/main" id="{4A78262B-07B5-4600-8B26-6E753135BB98}"/>
            </a:ext>
          </a:extLst>
        </xdr:cNvPr>
        <xdr:cNvSpPr/>
      </xdr:nvSpPr>
      <xdr:spPr>
        <a:xfrm>
          <a:off x="631250" y="111354"/>
          <a:ext cx="17808730" cy="6854986"/>
        </a:xfrm>
        <a:prstGeom prst="rect">
          <a:avLst/>
        </a:prstGeom>
        <a:solidFill>
          <a:schemeClr val="bg1"/>
        </a:solidFill>
        <a:ln>
          <a:noFill/>
        </a:ln>
        <a:effectLst>
          <a:glow rad="63500">
            <a:schemeClr val="accent6">
              <a:satMod val="175000"/>
              <a:alpha val="40000"/>
            </a:schemeClr>
          </a:glo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clientData/>
  </xdr:twoCellAnchor>
  <xdr:twoCellAnchor>
    <xdr:from>
      <xdr:col>1</xdr:col>
      <xdr:colOff>228600</xdr:colOff>
      <xdr:row>1</xdr:row>
      <xdr:rowOff>119744</xdr:rowOff>
    </xdr:from>
    <xdr:to>
      <xdr:col>4</xdr:col>
      <xdr:colOff>419100</xdr:colOff>
      <xdr:row>36</xdr:row>
      <xdr:rowOff>130630</xdr:rowOff>
    </xdr:to>
    <xdr:sp macro="" textlink="">
      <xdr:nvSpPr>
        <xdr:cNvPr id="3" name="Rectangle: Diagonal Corners Rounded 2">
          <a:extLst>
            <a:ext uri="{FF2B5EF4-FFF2-40B4-BE49-F238E27FC236}">
              <a16:creationId xmlns:a16="http://schemas.microsoft.com/office/drawing/2014/main" id="{88E83756-9FFF-E578-0126-E7C7705CF824}"/>
            </a:ext>
          </a:extLst>
        </xdr:cNvPr>
        <xdr:cNvSpPr/>
      </xdr:nvSpPr>
      <xdr:spPr>
        <a:xfrm>
          <a:off x="838200" y="304801"/>
          <a:ext cx="2019300" cy="6487886"/>
        </a:xfrm>
        <a:prstGeom prst="round2DiagRect">
          <a:avLst/>
        </a:prstGeom>
        <a:solidFill>
          <a:srgbClr val="009000"/>
        </a:solidFill>
        <a:ln>
          <a:noFill/>
        </a:ln>
        <a:effectLst>
          <a:glow rad="63500">
            <a:schemeClr val="accent6">
              <a:satMod val="175000"/>
              <a:alpha val="40000"/>
            </a:schemeClr>
          </a:glo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clientData/>
  </xdr:twoCellAnchor>
  <xdr:twoCellAnchor>
    <xdr:from>
      <xdr:col>5</xdr:col>
      <xdr:colOff>175260</xdr:colOff>
      <xdr:row>1</xdr:row>
      <xdr:rowOff>153297</xdr:rowOff>
    </xdr:from>
    <xdr:to>
      <xdr:col>8</xdr:col>
      <xdr:colOff>585802</xdr:colOff>
      <xdr:row>6</xdr:row>
      <xdr:rowOff>19082</xdr:rowOff>
    </xdr:to>
    <xdr:sp macro="" textlink="">
      <xdr:nvSpPr>
        <xdr:cNvPr id="4" name="Flowchart: Alternate Process 3">
          <a:extLst>
            <a:ext uri="{FF2B5EF4-FFF2-40B4-BE49-F238E27FC236}">
              <a16:creationId xmlns:a16="http://schemas.microsoft.com/office/drawing/2014/main" id="{A997239B-5271-6BBC-8C82-795F270B8367}"/>
            </a:ext>
          </a:extLst>
        </xdr:cNvPr>
        <xdr:cNvSpPr/>
      </xdr:nvSpPr>
      <xdr:spPr>
        <a:xfrm>
          <a:off x="3223260" y="338354"/>
          <a:ext cx="2239342" cy="791071"/>
        </a:xfrm>
        <a:prstGeom prst="flowChartAlternateProcess">
          <a:avLst/>
        </a:prstGeom>
        <a:solidFill>
          <a:schemeClr val="bg1"/>
        </a:solidFill>
        <a:ln>
          <a:noFill/>
        </a:ln>
        <a:effectLst>
          <a:glow rad="63500">
            <a:schemeClr val="accent6">
              <a:satMod val="175000"/>
              <a:alpha val="40000"/>
            </a:schemeClr>
          </a:glo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clientData/>
  </xdr:twoCellAnchor>
  <xdr:twoCellAnchor>
    <xdr:from>
      <xdr:col>18</xdr:col>
      <xdr:colOff>209944</xdr:colOff>
      <xdr:row>2</xdr:row>
      <xdr:rowOff>21371</xdr:rowOff>
    </xdr:from>
    <xdr:to>
      <xdr:col>22</xdr:col>
      <xdr:colOff>10886</xdr:colOff>
      <xdr:row>6</xdr:row>
      <xdr:rowOff>68580</xdr:rowOff>
    </xdr:to>
    <xdr:sp macro="" textlink="">
      <xdr:nvSpPr>
        <xdr:cNvPr id="5" name="Flowchart: Alternate Process 4">
          <a:extLst>
            <a:ext uri="{FF2B5EF4-FFF2-40B4-BE49-F238E27FC236}">
              <a16:creationId xmlns:a16="http://schemas.microsoft.com/office/drawing/2014/main" id="{BB905979-B1C9-4F4E-B610-E1321A3CE5EF}"/>
            </a:ext>
          </a:extLst>
        </xdr:cNvPr>
        <xdr:cNvSpPr/>
      </xdr:nvSpPr>
      <xdr:spPr>
        <a:xfrm>
          <a:off x="11182744" y="391485"/>
          <a:ext cx="2239342" cy="787438"/>
        </a:xfrm>
        <a:prstGeom prst="flowChartAlternateProcess">
          <a:avLst/>
        </a:prstGeom>
        <a:solidFill>
          <a:schemeClr val="bg1"/>
        </a:solidFill>
        <a:ln>
          <a:noFill/>
        </a:ln>
        <a:effectLst>
          <a:glow rad="63500">
            <a:schemeClr val="accent6">
              <a:satMod val="175000"/>
              <a:alpha val="40000"/>
            </a:schemeClr>
          </a:glo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clientData/>
  </xdr:twoCellAnchor>
  <xdr:twoCellAnchor>
    <xdr:from>
      <xdr:col>13</xdr:col>
      <xdr:colOff>570734</xdr:colOff>
      <xdr:row>2</xdr:row>
      <xdr:rowOff>21371</xdr:rowOff>
    </xdr:from>
    <xdr:to>
      <xdr:col>17</xdr:col>
      <xdr:colOff>371676</xdr:colOff>
      <xdr:row>6</xdr:row>
      <xdr:rowOff>68580</xdr:rowOff>
    </xdr:to>
    <xdr:sp macro="" textlink="">
      <xdr:nvSpPr>
        <xdr:cNvPr id="6" name="Flowchart: Alternate Process 5">
          <a:extLst>
            <a:ext uri="{FF2B5EF4-FFF2-40B4-BE49-F238E27FC236}">
              <a16:creationId xmlns:a16="http://schemas.microsoft.com/office/drawing/2014/main" id="{37ADBC8C-E931-47DA-A761-05A04D35971D}"/>
            </a:ext>
          </a:extLst>
        </xdr:cNvPr>
        <xdr:cNvSpPr/>
      </xdr:nvSpPr>
      <xdr:spPr>
        <a:xfrm>
          <a:off x="8495534" y="391485"/>
          <a:ext cx="2239342" cy="787438"/>
        </a:xfrm>
        <a:prstGeom prst="flowChartAlternateProcess">
          <a:avLst/>
        </a:prstGeom>
        <a:solidFill>
          <a:schemeClr val="bg1"/>
        </a:solidFill>
        <a:ln>
          <a:noFill/>
        </a:ln>
        <a:effectLst>
          <a:glow rad="63500">
            <a:schemeClr val="accent6">
              <a:satMod val="175000"/>
              <a:alpha val="40000"/>
            </a:schemeClr>
          </a:glo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clientData/>
  </xdr:twoCellAnchor>
  <xdr:twoCellAnchor>
    <xdr:from>
      <xdr:col>9</xdr:col>
      <xdr:colOff>345497</xdr:colOff>
      <xdr:row>2</xdr:row>
      <xdr:rowOff>5931</xdr:rowOff>
    </xdr:from>
    <xdr:to>
      <xdr:col>13</xdr:col>
      <xdr:colOff>146439</xdr:colOff>
      <xdr:row>6</xdr:row>
      <xdr:rowOff>53140</xdr:rowOff>
    </xdr:to>
    <xdr:sp macro="" textlink="">
      <xdr:nvSpPr>
        <xdr:cNvPr id="7" name="Flowchart: Alternate Process 6">
          <a:extLst>
            <a:ext uri="{FF2B5EF4-FFF2-40B4-BE49-F238E27FC236}">
              <a16:creationId xmlns:a16="http://schemas.microsoft.com/office/drawing/2014/main" id="{4ADEB335-229E-4577-91BE-0FAE62444FE6}"/>
            </a:ext>
          </a:extLst>
        </xdr:cNvPr>
        <xdr:cNvSpPr/>
      </xdr:nvSpPr>
      <xdr:spPr>
        <a:xfrm>
          <a:off x="5831897" y="376045"/>
          <a:ext cx="2239342" cy="787438"/>
        </a:xfrm>
        <a:prstGeom prst="flowChartAlternateProcess">
          <a:avLst/>
        </a:prstGeom>
        <a:solidFill>
          <a:schemeClr val="bg1"/>
        </a:solidFill>
        <a:ln>
          <a:noFill/>
        </a:ln>
        <a:effectLst>
          <a:glow rad="63500">
            <a:schemeClr val="accent6">
              <a:satMod val="175000"/>
              <a:alpha val="40000"/>
            </a:schemeClr>
          </a:glo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clientData/>
  </xdr:twoCellAnchor>
  <xdr:twoCellAnchor>
    <xdr:from>
      <xdr:col>6</xdr:col>
      <xdr:colOff>13528</xdr:colOff>
      <xdr:row>2</xdr:row>
      <xdr:rowOff>5931</xdr:rowOff>
    </xdr:from>
    <xdr:to>
      <xdr:col>8</xdr:col>
      <xdr:colOff>51502</xdr:colOff>
      <xdr:row>4</xdr:row>
      <xdr:rowOff>6375</xdr:rowOff>
    </xdr:to>
    <xdr:sp macro="" textlink="">
      <xdr:nvSpPr>
        <xdr:cNvPr id="10" name="TextBox 9">
          <a:extLst>
            <a:ext uri="{FF2B5EF4-FFF2-40B4-BE49-F238E27FC236}">
              <a16:creationId xmlns:a16="http://schemas.microsoft.com/office/drawing/2014/main" id="{9B06FA74-4090-FFA8-8AB5-8B7143D5AC0D}"/>
            </a:ext>
          </a:extLst>
        </xdr:cNvPr>
        <xdr:cNvSpPr txBox="1"/>
      </xdr:nvSpPr>
      <xdr:spPr>
        <a:xfrm>
          <a:off x="3671128" y="376045"/>
          <a:ext cx="1257174" cy="370559"/>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400" b="1">
              <a:solidFill>
                <a:schemeClr val="bg2">
                  <a:lumMod val="50000"/>
                </a:schemeClr>
              </a:solidFill>
            </a:rPr>
            <a:t>Total Revenue</a:t>
          </a:r>
        </a:p>
      </xdr:txBody>
    </xdr:sp>
    <xdr:clientData/>
  </xdr:twoCellAnchor>
  <xdr:twoCellAnchor>
    <xdr:from>
      <xdr:col>6</xdr:col>
      <xdr:colOff>13528</xdr:colOff>
      <xdr:row>4</xdr:row>
      <xdr:rowOff>6375</xdr:rowOff>
    </xdr:from>
    <xdr:to>
      <xdr:col>8</xdr:col>
      <xdr:colOff>51502</xdr:colOff>
      <xdr:row>5</xdr:row>
      <xdr:rowOff>176437</xdr:rowOff>
    </xdr:to>
    <xdr:sp macro="" textlink="Analysis!C13">
      <xdr:nvSpPr>
        <xdr:cNvPr id="11" name="TextBox 10">
          <a:extLst>
            <a:ext uri="{FF2B5EF4-FFF2-40B4-BE49-F238E27FC236}">
              <a16:creationId xmlns:a16="http://schemas.microsoft.com/office/drawing/2014/main" id="{C721966B-D793-9810-E835-35FF16A1B31D}"/>
            </a:ext>
          </a:extLst>
        </xdr:cNvPr>
        <xdr:cNvSpPr txBox="1"/>
      </xdr:nvSpPr>
      <xdr:spPr>
        <a:xfrm>
          <a:off x="3671128" y="746604"/>
          <a:ext cx="1257174" cy="355119"/>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E85316DC-EAF2-463B-A30F-7B72218FC99E}" type="TxLink">
            <a:rPr lang="en-US" sz="2000" b="1" i="0" u="none" strike="noStrike">
              <a:solidFill>
                <a:schemeClr val="bg2">
                  <a:lumMod val="25000"/>
                </a:schemeClr>
              </a:solidFill>
              <a:latin typeface="Aptos Narrow"/>
            </a:rPr>
            <a:pPr algn="ctr"/>
            <a:t>₹3521.K</a:t>
          </a:fld>
          <a:endParaRPr lang="en-IN" sz="2000" b="1">
            <a:solidFill>
              <a:schemeClr val="bg2">
                <a:lumMod val="25000"/>
              </a:schemeClr>
            </a:solidFill>
          </a:endParaRPr>
        </a:p>
      </xdr:txBody>
    </xdr:sp>
    <xdr:clientData/>
  </xdr:twoCellAnchor>
  <xdr:twoCellAnchor>
    <xdr:from>
      <xdr:col>10</xdr:col>
      <xdr:colOff>226980</xdr:colOff>
      <xdr:row>2</xdr:row>
      <xdr:rowOff>5931</xdr:rowOff>
    </xdr:from>
    <xdr:to>
      <xdr:col>12</xdr:col>
      <xdr:colOff>264954</xdr:colOff>
      <xdr:row>4</xdr:row>
      <xdr:rowOff>6375</xdr:rowOff>
    </xdr:to>
    <xdr:sp macro="" textlink="">
      <xdr:nvSpPr>
        <xdr:cNvPr id="12" name="TextBox 11">
          <a:extLst>
            <a:ext uri="{FF2B5EF4-FFF2-40B4-BE49-F238E27FC236}">
              <a16:creationId xmlns:a16="http://schemas.microsoft.com/office/drawing/2014/main" id="{D7E00086-5DE1-4B08-BA8C-F12607861C4B}"/>
            </a:ext>
          </a:extLst>
        </xdr:cNvPr>
        <xdr:cNvSpPr txBox="1"/>
      </xdr:nvSpPr>
      <xdr:spPr>
        <a:xfrm>
          <a:off x="6322980" y="376045"/>
          <a:ext cx="1257174" cy="370559"/>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400" b="1">
              <a:solidFill>
                <a:schemeClr val="bg2">
                  <a:lumMod val="50000"/>
                </a:schemeClr>
              </a:solidFill>
            </a:rPr>
            <a:t>Total Orders</a:t>
          </a:r>
        </a:p>
      </xdr:txBody>
    </xdr:sp>
    <xdr:clientData/>
  </xdr:twoCellAnchor>
  <xdr:twoCellAnchor>
    <xdr:from>
      <xdr:col>10</xdr:col>
      <xdr:colOff>234838</xdr:colOff>
      <xdr:row>4</xdr:row>
      <xdr:rowOff>14095</xdr:rowOff>
    </xdr:from>
    <xdr:to>
      <xdr:col>12</xdr:col>
      <xdr:colOff>272812</xdr:colOff>
      <xdr:row>5</xdr:row>
      <xdr:rowOff>184157</xdr:rowOff>
    </xdr:to>
    <xdr:sp macro="" textlink="Analysis!D13">
      <xdr:nvSpPr>
        <xdr:cNvPr id="13" name="TextBox 12">
          <a:extLst>
            <a:ext uri="{FF2B5EF4-FFF2-40B4-BE49-F238E27FC236}">
              <a16:creationId xmlns:a16="http://schemas.microsoft.com/office/drawing/2014/main" id="{E877A281-1676-42E1-AC5D-BBE1529413D4}"/>
            </a:ext>
          </a:extLst>
        </xdr:cNvPr>
        <xdr:cNvSpPr txBox="1"/>
      </xdr:nvSpPr>
      <xdr:spPr>
        <a:xfrm>
          <a:off x="6330838" y="754324"/>
          <a:ext cx="1257174" cy="355119"/>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DD080F62-CB74-4A3D-A9D7-163B9B1370F2}" type="TxLink">
            <a:rPr lang="en-US" sz="2000" b="1" i="0" u="none" strike="noStrike">
              <a:solidFill>
                <a:schemeClr val="bg2">
                  <a:lumMod val="25000"/>
                </a:schemeClr>
              </a:solidFill>
              <a:latin typeface="Aptos Narrow"/>
            </a:rPr>
            <a:pPr algn="ctr"/>
            <a:t>1000</a:t>
          </a:fld>
          <a:endParaRPr lang="en-IN" sz="3200" b="1">
            <a:solidFill>
              <a:schemeClr val="bg2">
                <a:lumMod val="25000"/>
              </a:schemeClr>
            </a:solidFill>
          </a:endParaRPr>
        </a:p>
      </xdr:txBody>
    </xdr:sp>
    <xdr:clientData/>
  </xdr:twoCellAnchor>
  <xdr:twoCellAnchor>
    <xdr:from>
      <xdr:col>14</xdr:col>
      <xdr:colOff>308822</xdr:colOff>
      <xdr:row>2</xdr:row>
      <xdr:rowOff>21371</xdr:rowOff>
    </xdr:from>
    <xdr:to>
      <xdr:col>17</xdr:col>
      <xdr:colOff>23989</xdr:colOff>
      <xdr:row>4</xdr:row>
      <xdr:rowOff>17404</xdr:rowOff>
    </xdr:to>
    <xdr:sp macro="" textlink="">
      <xdr:nvSpPr>
        <xdr:cNvPr id="14" name="TextBox 13">
          <a:extLst>
            <a:ext uri="{FF2B5EF4-FFF2-40B4-BE49-F238E27FC236}">
              <a16:creationId xmlns:a16="http://schemas.microsoft.com/office/drawing/2014/main" id="{13D287A3-D476-4096-A00F-AB39683FD68A}"/>
            </a:ext>
          </a:extLst>
        </xdr:cNvPr>
        <xdr:cNvSpPr txBox="1"/>
      </xdr:nvSpPr>
      <xdr:spPr>
        <a:xfrm>
          <a:off x="8843222" y="391485"/>
          <a:ext cx="1543967" cy="366148"/>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400" b="1">
              <a:solidFill>
                <a:schemeClr val="bg2">
                  <a:lumMod val="50000"/>
                </a:schemeClr>
              </a:solidFill>
            </a:rPr>
            <a:t>Avg</a:t>
          </a:r>
          <a:r>
            <a:rPr lang="en-IN" sz="1400" b="1" baseline="0">
              <a:solidFill>
                <a:schemeClr val="bg2">
                  <a:lumMod val="50000"/>
                </a:schemeClr>
              </a:solidFill>
            </a:rPr>
            <a:t> Order Value</a:t>
          </a:r>
          <a:endParaRPr lang="en-IN" sz="1400" b="1">
            <a:solidFill>
              <a:schemeClr val="bg2">
                <a:lumMod val="50000"/>
              </a:schemeClr>
            </a:solidFill>
          </a:endParaRPr>
        </a:p>
      </xdr:txBody>
    </xdr:sp>
    <xdr:clientData/>
  </xdr:twoCellAnchor>
  <xdr:twoCellAnchor>
    <xdr:from>
      <xdr:col>14</xdr:col>
      <xdr:colOff>452218</xdr:colOff>
      <xdr:row>4</xdr:row>
      <xdr:rowOff>18637</xdr:rowOff>
    </xdr:from>
    <xdr:to>
      <xdr:col>16</xdr:col>
      <xdr:colOff>490192</xdr:colOff>
      <xdr:row>6</xdr:row>
      <xdr:rowOff>3642</xdr:rowOff>
    </xdr:to>
    <xdr:sp macro="" textlink="Analysis!E13">
      <xdr:nvSpPr>
        <xdr:cNvPr id="15" name="TextBox 14">
          <a:extLst>
            <a:ext uri="{FF2B5EF4-FFF2-40B4-BE49-F238E27FC236}">
              <a16:creationId xmlns:a16="http://schemas.microsoft.com/office/drawing/2014/main" id="{B4F7EEA6-517E-4F64-B01B-1F087CF3A94F}"/>
            </a:ext>
          </a:extLst>
        </xdr:cNvPr>
        <xdr:cNvSpPr txBox="1"/>
      </xdr:nvSpPr>
      <xdr:spPr>
        <a:xfrm>
          <a:off x="8986618" y="758866"/>
          <a:ext cx="1257174" cy="355119"/>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7AFA619E-1D74-43C7-B5AA-D13320F19E8F}" type="TxLink">
            <a:rPr lang="en-US" sz="2000" b="1" i="0" u="none" strike="noStrike">
              <a:solidFill>
                <a:schemeClr val="bg2">
                  <a:lumMod val="25000"/>
                </a:schemeClr>
              </a:solidFill>
              <a:latin typeface="Aptos Narrow"/>
            </a:rPr>
            <a:pPr algn="ctr"/>
            <a:t>₹3520.98</a:t>
          </a:fld>
          <a:endParaRPr lang="en-IN" sz="4400" b="1">
            <a:solidFill>
              <a:schemeClr val="bg2">
                <a:lumMod val="25000"/>
              </a:schemeClr>
            </a:solidFill>
          </a:endParaRPr>
        </a:p>
      </xdr:txBody>
    </xdr:sp>
    <xdr:clientData/>
  </xdr:twoCellAnchor>
  <xdr:twoCellAnchor>
    <xdr:from>
      <xdr:col>18</xdr:col>
      <xdr:colOff>442198</xdr:colOff>
      <xdr:row>2</xdr:row>
      <xdr:rowOff>38044</xdr:rowOff>
    </xdr:from>
    <xdr:to>
      <xdr:col>21</xdr:col>
      <xdr:colOff>157365</xdr:colOff>
      <xdr:row>4</xdr:row>
      <xdr:rowOff>34077</xdr:rowOff>
    </xdr:to>
    <xdr:sp macro="" textlink="">
      <xdr:nvSpPr>
        <xdr:cNvPr id="16" name="TextBox 15">
          <a:extLst>
            <a:ext uri="{FF2B5EF4-FFF2-40B4-BE49-F238E27FC236}">
              <a16:creationId xmlns:a16="http://schemas.microsoft.com/office/drawing/2014/main" id="{47A0F46C-9064-4959-B8A1-7474D701BE68}"/>
            </a:ext>
          </a:extLst>
        </xdr:cNvPr>
        <xdr:cNvSpPr txBox="1"/>
      </xdr:nvSpPr>
      <xdr:spPr>
        <a:xfrm>
          <a:off x="11414998" y="408158"/>
          <a:ext cx="1543967" cy="366148"/>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400" b="1">
              <a:solidFill>
                <a:schemeClr val="bg2">
                  <a:lumMod val="50000"/>
                </a:schemeClr>
              </a:solidFill>
            </a:rPr>
            <a:t>Avg</a:t>
          </a:r>
          <a:r>
            <a:rPr lang="en-IN" sz="1400" b="1" baseline="0">
              <a:solidFill>
                <a:schemeClr val="bg2">
                  <a:lumMod val="50000"/>
                </a:schemeClr>
              </a:solidFill>
            </a:rPr>
            <a:t> Delivery Time</a:t>
          </a:r>
          <a:endParaRPr lang="en-IN" sz="1400" b="1">
            <a:solidFill>
              <a:schemeClr val="bg2">
                <a:lumMod val="50000"/>
              </a:schemeClr>
            </a:solidFill>
          </a:endParaRPr>
        </a:p>
      </xdr:txBody>
    </xdr:sp>
    <xdr:clientData/>
  </xdr:twoCellAnchor>
  <xdr:twoCellAnchor>
    <xdr:from>
      <xdr:col>19</xdr:col>
      <xdr:colOff>91428</xdr:colOff>
      <xdr:row>4</xdr:row>
      <xdr:rowOff>34077</xdr:rowOff>
    </xdr:from>
    <xdr:to>
      <xdr:col>21</xdr:col>
      <xdr:colOff>129402</xdr:colOff>
      <xdr:row>6</xdr:row>
      <xdr:rowOff>19082</xdr:rowOff>
    </xdr:to>
    <xdr:sp macro="" textlink="Analysis!F13">
      <xdr:nvSpPr>
        <xdr:cNvPr id="17" name="TextBox 16">
          <a:extLst>
            <a:ext uri="{FF2B5EF4-FFF2-40B4-BE49-F238E27FC236}">
              <a16:creationId xmlns:a16="http://schemas.microsoft.com/office/drawing/2014/main" id="{0D9F7EEA-A6BD-4B78-B4C7-72F8EB6CC90D}"/>
            </a:ext>
          </a:extLst>
        </xdr:cNvPr>
        <xdr:cNvSpPr txBox="1"/>
      </xdr:nvSpPr>
      <xdr:spPr>
        <a:xfrm>
          <a:off x="11673828" y="774306"/>
          <a:ext cx="1257174" cy="355119"/>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1B7A41A8-0A68-4530-9305-3004A956059E}" type="TxLink">
            <a:rPr lang="en-US" sz="2000" b="1" i="0" u="none" strike="noStrike">
              <a:solidFill>
                <a:schemeClr val="bg2">
                  <a:lumMod val="25000"/>
                </a:schemeClr>
              </a:solidFill>
              <a:latin typeface="Aptos Narrow"/>
            </a:rPr>
            <a:pPr algn="ctr"/>
            <a:t>5.53</a:t>
          </a:fld>
          <a:endParaRPr lang="en-IN" sz="6000" b="1">
            <a:solidFill>
              <a:schemeClr val="bg2">
                <a:lumMod val="25000"/>
              </a:schemeClr>
            </a:solidFill>
          </a:endParaRPr>
        </a:p>
      </xdr:txBody>
    </xdr:sp>
    <xdr:clientData/>
  </xdr:twoCellAnchor>
  <xdr:twoCellAnchor>
    <xdr:from>
      <xdr:col>8</xdr:col>
      <xdr:colOff>129938</xdr:colOff>
      <xdr:row>2</xdr:row>
      <xdr:rowOff>32202</xdr:rowOff>
    </xdr:from>
    <xdr:to>
      <xdr:col>8</xdr:col>
      <xdr:colOff>501151</xdr:colOff>
      <xdr:row>4</xdr:row>
      <xdr:rowOff>34077</xdr:rowOff>
    </xdr:to>
    <xdr:pic>
      <xdr:nvPicPr>
        <xdr:cNvPr id="25" name="Picture 24">
          <a:extLst>
            <a:ext uri="{FF2B5EF4-FFF2-40B4-BE49-F238E27FC236}">
              <a16:creationId xmlns:a16="http://schemas.microsoft.com/office/drawing/2014/main" id="{9BFB749E-5853-075D-DE7D-0C772489CB6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006738" y="402316"/>
          <a:ext cx="371213" cy="371990"/>
        </a:xfrm>
        <a:prstGeom prst="rect">
          <a:avLst/>
        </a:prstGeom>
      </xdr:spPr>
    </xdr:pic>
    <xdr:clientData/>
  </xdr:twoCellAnchor>
  <xdr:twoCellAnchor>
    <xdr:from>
      <xdr:col>12</xdr:col>
      <xdr:colOff>272812</xdr:colOff>
      <xdr:row>2</xdr:row>
      <xdr:rowOff>32202</xdr:rowOff>
    </xdr:from>
    <xdr:to>
      <xdr:col>13</xdr:col>
      <xdr:colOff>34425</xdr:colOff>
      <xdr:row>4</xdr:row>
      <xdr:rowOff>6375</xdr:rowOff>
    </xdr:to>
    <xdr:pic>
      <xdr:nvPicPr>
        <xdr:cNvPr id="27" name="Picture 26">
          <a:extLst>
            <a:ext uri="{FF2B5EF4-FFF2-40B4-BE49-F238E27FC236}">
              <a16:creationId xmlns:a16="http://schemas.microsoft.com/office/drawing/2014/main" id="{47982BAB-25B9-C7AA-AEDB-D52E91C21ABC}"/>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7588012" y="402316"/>
          <a:ext cx="371213" cy="344288"/>
        </a:xfrm>
        <a:prstGeom prst="rect">
          <a:avLst/>
        </a:prstGeom>
      </xdr:spPr>
    </xdr:pic>
    <xdr:clientData/>
  </xdr:twoCellAnchor>
  <xdr:twoCellAnchor>
    <xdr:from>
      <xdr:col>16</xdr:col>
      <xdr:colOff>601084</xdr:colOff>
      <xdr:row>2</xdr:row>
      <xdr:rowOff>89707</xdr:rowOff>
    </xdr:from>
    <xdr:to>
      <xdr:col>17</xdr:col>
      <xdr:colOff>277850</xdr:colOff>
      <xdr:row>4</xdr:row>
      <xdr:rowOff>55109</xdr:rowOff>
    </xdr:to>
    <xdr:pic>
      <xdr:nvPicPr>
        <xdr:cNvPr id="29" name="Picture 28">
          <a:extLst>
            <a:ext uri="{FF2B5EF4-FFF2-40B4-BE49-F238E27FC236}">
              <a16:creationId xmlns:a16="http://schemas.microsoft.com/office/drawing/2014/main" id="{C03B2580-5318-77A4-D5A6-8CBE64FD8A7D}"/>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10354684" y="459821"/>
          <a:ext cx="286366" cy="335517"/>
        </a:xfrm>
        <a:prstGeom prst="rect">
          <a:avLst/>
        </a:prstGeom>
      </xdr:spPr>
    </xdr:pic>
    <xdr:clientData/>
  </xdr:twoCellAnchor>
  <xdr:twoCellAnchor>
    <xdr:from>
      <xdr:col>21</xdr:col>
      <xdr:colOff>111145</xdr:colOff>
      <xdr:row>2</xdr:row>
      <xdr:rowOff>38044</xdr:rowOff>
    </xdr:from>
    <xdr:to>
      <xdr:col>21</xdr:col>
      <xdr:colOff>556600</xdr:colOff>
      <xdr:row>4</xdr:row>
      <xdr:rowOff>112863</xdr:rowOff>
    </xdr:to>
    <xdr:pic>
      <xdr:nvPicPr>
        <xdr:cNvPr id="35" name="Picture 34">
          <a:extLst>
            <a:ext uri="{FF2B5EF4-FFF2-40B4-BE49-F238E27FC236}">
              <a16:creationId xmlns:a16="http://schemas.microsoft.com/office/drawing/2014/main" id="{ED7DFF97-AA86-9AAB-CD43-3937C063FC0A}"/>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12912745" y="408158"/>
          <a:ext cx="445455" cy="444934"/>
        </a:xfrm>
        <a:prstGeom prst="rect">
          <a:avLst/>
        </a:prstGeom>
      </xdr:spPr>
    </xdr:pic>
    <xdr:clientData/>
  </xdr:twoCellAnchor>
  <xdr:twoCellAnchor>
    <xdr:from>
      <xdr:col>5</xdr:col>
      <xdr:colOff>190500</xdr:colOff>
      <xdr:row>7</xdr:row>
      <xdr:rowOff>83820</xdr:rowOff>
    </xdr:from>
    <xdr:to>
      <xdr:col>13</xdr:col>
      <xdr:colOff>7620</xdr:colOff>
      <xdr:row>21</xdr:row>
      <xdr:rowOff>38100</xdr:rowOff>
    </xdr:to>
    <xdr:sp macro="" textlink="">
      <xdr:nvSpPr>
        <xdr:cNvPr id="9" name="Rectangle 8">
          <a:extLst>
            <a:ext uri="{FF2B5EF4-FFF2-40B4-BE49-F238E27FC236}">
              <a16:creationId xmlns:a16="http://schemas.microsoft.com/office/drawing/2014/main" id="{796919D5-DEDC-A0DF-A703-F63F14EC9097}"/>
            </a:ext>
          </a:extLst>
        </xdr:cNvPr>
        <xdr:cNvSpPr/>
      </xdr:nvSpPr>
      <xdr:spPr>
        <a:xfrm>
          <a:off x="3238500" y="1338879"/>
          <a:ext cx="4693920" cy="2464397"/>
        </a:xfrm>
        <a:prstGeom prst="rect">
          <a:avLst/>
        </a:prstGeom>
        <a:solidFill>
          <a:schemeClr val="bg1"/>
        </a:solidFill>
        <a:ln>
          <a:noFill/>
        </a:ln>
        <a:effectLst>
          <a:glow rad="63500">
            <a:schemeClr val="accent6">
              <a:satMod val="175000"/>
              <a:alpha val="40000"/>
            </a:schemeClr>
          </a:glo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clientData/>
  </xdr:twoCellAnchor>
  <xdr:twoCellAnchor>
    <xdr:from>
      <xdr:col>5</xdr:col>
      <xdr:colOff>278130</xdr:colOff>
      <xdr:row>8</xdr:row>
      <xdr:rowOff>121920</xdr:rowOff>
    </xdr:from>
    <xdr:to>
      <xdr:col>12</xdr:col>
      <xdr:colOff>529590</xdr:colOff>
      <xdr:row>20</xdr:row>
      <xdr:rowOff>167640</xdr:rowOff>
    </xdr:to>
    <xdr:graphicFrame macro="">
      <xdr:nvGraphicFramePr>
        <xdr:cNvPr id="18" name="Chart 17">
          <a:extLst>
            <a:ext uri="{FF2B5EF4-FFF2-40B4-BE49-F238E27FC236}">
              <a16:creationId xmlns:a16="http://schemas.microsoft.com/office/drawing/2014/main" id="{6C45DF61-57F9-4C8D-B343-BA0DF751487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5</xdr:col>
      <xdr:colOff>188322</xdr:colOff>
      <xdr:row>22</xdr:row>
      <xdr:rowOff>85742</xdr:rowOff>
    </xdr:from>
    <xdr:to>
      <xdr:col>13</xdr:col>
      <xdr:colOff>5442</xdr:colOff>
      <xdr:row>36</xdr:row>
      <xdr:rowOff>40022</xdr:rowOff>
    </xdr:to>
    <xdr:sp macro="" textlink="">
      <xdr:nvSpPr>
        <xdr:cNvPr id="19" name="Rectangle 18">
          <a:extLst>
            <a:ext uri="{FF2B5EF4-FFF2-40B4-BE49-F238E27FC236}">
              <a16:creationId xmlns:a16="http://schemas.microsoft.com/office/drawing/2014/main" id="{A3DF1365-177F-4612-B8C6-E0CF1247ABDE}"/>
            </a:ext>
          </a:extLst>
        </xdr:cNvPr>
        <xdr:cNvSpPr/>
      </xdr:nvSpPr>
      <xdr:spPr>
        <a:xfrm>
          <a:off x="3247054" y="4099657"/>
          <a:ext cx="4711092" cy="2508590"/>
        </a:xfrm>
        <a:prstGeom prst="rect">
          <a:avLst/>
        </a:prstGeom>
        <a:solidFill>
          <a:schemeClr val="bg1"/>
        </a:solidFill>
        <a:ln>
          <a:noFill/>
        </a:ln>
        <a:effectLst>
          <a:glow rad="63500">
            <a:schemeClr val="accent6">
              <a:satMod val="175000"/>
              <a:alpha val="40000"/>
            </a:schemeClr>
          </a:glo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clientData/>
  </xdr:twoCellAnchor>
  <xdr:twoCellAnchor>
    <xdr:from>
      <xdr:col>5</xdr:col>
      <xdr:colOff>263235</xdr:colOff>
      <xdr:row>23</xdr:row>
      <xdr:rowOff>166295</xdr:rowOff>
    </xdr:from>
    <xdr:to>
      <xdr:col>12</xdr:col>
      <xdr:colOff>542275</xdr:colOff>
      <xdr:row>35</xdr:row>
      <xdr:rowOff>170329</xdr:rowOff>
    </xdr:to>
    <xdr:graphicFrame macro="">
      <xdr:nvGraphicFramePr>
        <xdr:cNvPr id="20" name="Chart 19">
          <a:extLst>
            <a:ext uri="{FF2B5EF4-FFF2-40B4-BE49-F238E27FC236}">
              <a16:creationId xmlns:a16="http://schemas.microsoft.com/office/drawing/2014/main" id="{F090AC9B-2639-461A-91B9-455F9655B0C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7</xdr:col>
      <xdr:colOff>269045</xdr:colOff>
      <xdr:row>7</xdr:row>
      <xdr:rowOff>101405</xdr:rowOff>
    </xdr:from>
    <xdr:to>
      <xdr:col>10</xdr:col>
      <xdr:colOff>538676</xdr:colOff>
      <xdr:row>8</xdr:row>
      <xdr:rowOff>107267</xdr:rowOff>
    </xdr:to>
    <xdr:sp macro="" textlink="">
      <xdr:nvSpPr>
        <xdr:cNvPr id="33" name="TextBox 32">
          <a:extLst>
            <a:ext uri="{FF2B5EF4-FFF2-40B4-BE49-F238E27FC236}">
              <a16:creationId xmlns:a16="http://schemas.microsoft.com/office/drawing/2014/main" id="{13FD14F6-6F6C-283A-85A4-9330FDD870A1}"/>
            </a:ext>
          </a:extLst>
        </xdr:cNvPr>
        <xdr:cNvSpPr txBox="1"/>
      </xdr:nvSpPr>
      <xdr:spPr>
        <a:xfrm>
          <a:off x="4536245" y="1356464"/>
          <a:ext cx="2098431" cy="18515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IN" sz="1200" b="1">
              <a:solidFill>
                <a:schemeClr val="bg2">
                  <a:lumMod val="25000"/>
                </a:schemeClr>
              </a:solidFill>
            </a:rPr>
            <a:t>Month</a:t>
          </a:r>
          <a:r>
            <a:rPr lang="en-IN" sz="1200" b="1" baseline="0">
              <a:solidFill>
                <a:schemeClr val="bg2">
                  <a:lumMod val="25000"/>
                </a:schemeClr>
              </a:solidFill>
            </a:rPr>
            <a:t> Wise Revenue</a:t>
          </a:r>
          <a:endParaRPr lang="en-IN" sz="1200" b="1">
            <a:solidFill>
              <a:schemeClr val="bg2">
                <a:lumMod val="25000"/>
              </a:schemeClr>
            </a:solidFill>
          </a:endParaRPr>
        </a:p>
      </xdr:txBody>
    </xdr:sp>
    <xdr:clientData/>
  </xdr:twoCellAnchor>
  <xdr:twoCellAnchor>
    <xdr:from>
      <xdr:col>13</xdr:col>
      <xdr:colOff>284374</xdr:colOff>
      <xdr:row>7</xdr:row>
      <xdr:rowOff>89582</xdr:rowOff>
    </xdr:from>
    <xdr:to>
      <xdr:col>21</xdr:col>
      <xdr:colOff>292496</xdr:colOff>
      <xdr:row>21</xdr:row>
      <xdr:rowOff>43862</xdr:rowOff>
    </xdr:to>
    <xdr:sp macro="" textlink="">
      <xdr:nvSpPr>
        <xdr:cNvPr id="31" name="Rectangle 30">
          <a:extLst>
            <a:ext uri="{FF2B5EF4-FFF2-40B4-BE49-F238E27FC236}">
              <a16:creationId xmlns:a16="http://schemas.microsoft.com/office/drawing/2014/main" id="{BE838B8A-FBDA-4E18-8FBF-EDE5C1FD84E9}"/>
            </a:ext>
          </a:extLst>
        </xdr:cNvPr>
        <xdr:cNvSpPr/>
      </xdr:nvSpPr>
      <xdr:spPr>
        <a:xfrm>
          <a:off x="8209174" y="1384982"/>
          <a:ext cx="4884922" cy="2545080"/>
        </a:xfrm>
        <a:prstGeom prst="rect">
          <a:avLst/>
        </a:prstGeom>
        <a:solidFill>
          <a:schemeClr val="bg1"/>
        </a:solidFill>
        <a:ln>
          <a:noFill/>
        </a:ln>
        <a:effectLst>
          <a:glow rad="63500">
            <a:schemeClr val="accent6">
              <a:satMod val="175000"/>
              <a:alpha val="40000"/>
            </a:schemeClr>
          </a:glo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clientData/>
  </xdr:twoCellAnchor>
  <xdr:twoCellAnchor>
    <xdr:from>
      <xdr:col>13</xdr:col>
      <xdr:colOff>355703</xdr:colOff>
      <xdr:row>8</xdr:row>
      <xdr:rowOff>113160</xdr:rowOff>
    </xdr:from>
    <xdr:to>
      <xdr:col>21</xdr:col>
      <xdr:colOff>221167</xdr:colOff>
      <xdr:row>20</xdr:row>
      <xdr:rowOff>170587</xdr:rowOff>
    </xdr:to>
    <xdr:graphicFrame macro="">
      <xdr:nvGraphicFramePr>
        <xdr:cNvPr id="32" name="Chart 31">
          <a:extLst>
            <a:ext uri="{FF2B5EF4-FFF2-40B4-BE49-F238E27FC236}">
              <a16:creationId xmlns:a16="http://schemas.microsoft.com/office/drawing/2014/main" id="{2E2F6F49-7EFE-445B-9F1E-914EB710E11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15</xdr:col>
      <xdr:colOff>458420</xdr:colOff>
      <xdr:row>7</xdr:row>
      <xdr:rowOff>110201</xdr:rowOff>
    </xdr:from>
    <xdr:to>
      <xdr:col>19</xdr:col>
      <xdr:colOff>118451</xdr:colOff>
      <xdr:row>8</xdr:row>
      <xdr:rowOff>116063</xdr:rowOff>
    </xdr:to>
    <xdr:sp macro="" textlink="">
      <xdr:nvSpPr>
        <xdr:cNvPr id="34" name="TextBox 33">
          <a:extLst>
            <a:ext uri="{FF2B5EF4-FFF2-40B4-BE49-F238E27FC236}">
              <a16:creationId xmlns:a16="http://schemas.microsoft.com/office/drawing/2014/main" id="{FF00B17C-EE06-403A-AEB8-D3A650598DCD}"/>
            </a:ext>
          </a:extLst>
        </xdr:cNvPr>
        <xdr:cNvSpPr txBox="1"/>
      </xdr:nvSpPr>
      <xdr:spPr>
        <a:xfrm>
          <a:off x="9602420" y="1405601"/>
          <a:ext cx="2098431" cy="19091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IN" sz="1200" b="1">
              <a:solidFill>
                <a:schemeClr val="bg2">
                  <a:lumMod val="25000"/>
                </a:schemeClr>
              </a:solidFill>
            </a:rPr>
            <a:t>Occasions</a:t>
          </a:r>
          <a:r>
            <a:rPr lang="en-IN" sz="1200" b="1" baseline="0">
              <a:solidFill>
                <a:schemeClr val="bg2">
                  <a:lumMod val="25000"/>
                </a:schemeClr>
              </a:solidFill>
            </a:rPr>
            <a:t> Wise Revenue</a:t>
          </a:r>
          <a:endParaRPr lang="en-IN" sz="1200" b="1">
            <a:solidFill>
              <a:schemeClr val="bg2">
                <a:lumMod val="25000"/>
              </a:schemeClr>
            </a:solidFill>
          </a:endParaRPr>
        </a:p>
      </xdr:txBody>
    </xdr:sp>
    <xdr:clientData/>
  </xdr:twoCellAnchor>
  <xdr:twoCellAnchor>
    <xdr:from>
      <xdr:col>13</xdr:col>
      <xdr:colOff>271821</xdr:colOff>
      <xdr:row>22</xdr:row>
      <xdr:rowOff>101877</xdr:rowOff>
    </xdr:from>
    <xdr:to>
      <xdr:col>21</xdr:col>
      <xdr:colOff>269580</xdr:colOff>
      <xdr:row>36</xdr:row>
      <xdr:rowOff>56157</xdr:rowOff>
    </xdr:to>
    <xdr:sp macro="" textlink="">
      <xdr:nvSpPr>
        <xdr:cNvPr id="22" name="Rectangle 21">
          <a:extLst>
            <a:ext uri="{FF2B5EF4-FFF2-40B4-BE49-F238E27FC236}">
              <a16:creationId xmlns:a16="http://schemas.microsoft.com/office/drawing/2014/main" id="{6E177831-82C9-4055-94DF-2C59FEBE1157}"/>
            </a:ext>
          </a:extLst>
        </xdr:cNvPr>
        <xdr:cNvSpPr/>
      </xdr:nvSpPr>
      <xdr:spPr>
        <a:xfrm>
          <a:off x="8224525" y="4115792"/>
          <a:ext cx="4891731" cy="2508590"/>
        </a:xfrm>
        <a:prstGeom prst="rect">
          <a:avLst/>
        </a:prstGeom>
        <a:solidFill>
          <a:schemeClr val="bg1"/>
        </a:solidFill>
        <a:ln>
          <a:noFill/>
        </a:ln>
        <a:effectLst>
          <a:glow rad="63500">
            <a:schemeClr val="accent6">
              <a:satMod val="175000"/>
              <a:alpha val="40000"/>
            </a:schemeClr>
          </a:glo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clientData/>
  </xdr:twoCellAnchor>
  <xdr:twoCellAnchor>
    <xdr:from>
      <xdr:col>13</xdr:col>
      <xdr:colOff>355104</xdr:colOff>
      <xdr:row>23</xdr:row>
      <xdr:rowOff>154321</xdr:rowOff>
    </xdr:from>
    <xdr:to>
      <xdr:col>21</xdr:col>
      <xdr:colOff>186297</xdr:colOff>
      <xdr:row>36</xdr:row>
      <xdr:rowOff>10886</xdr:rowOff>
    </xdr:to>
    <xdr:graphicFrame macro="">
      <xdr:nvGraphicFramePr>
        <xdr:cNvPr id="23" name="Chart 22">
          <a:extLst>
            <a:ext uri="{FF2B5EF4-FFF2-40B4-BE49-F238E27FC236}">
              <a16:creationId xmlns:a16="http://schemas.microsoft.com/office/drawing/2014/main" id="{362B8FFE-238E-404E-9259-5288EA825AB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15</xdr:col>
      <xdr:colOff>440685</xdr:colOff>
      <xdr:row>22</xdr:row>
      <xdr:rowOff>128772</xdr:rowOff>
    </xdr:from>
    <xdr:to>
      <xdr:col>19</xdr:col>
      <xdr:colOff>100716</xdr:colOff>
      <xdr:row>23</xdr:row>
      <xdr:rowOff>134634</xdr:rowOff>
    </xdr:to>
    <xdr:sp macro="" textlink="">
      <xdr:nvSpPr>
        <xdr:cNvPr id="36" name="TextBox 35">
          <a:extLst>
            <a:ext uri="{FF2B5EF4-FFF2-40B4-BE49-F238E27FC236}">
              <a16:creationId xmlns:a16="http://schemas.microsoft.com/office/drawing/2014/main" id="{1E32E756-753F-4DAA-8E1F-90150D9511CB}"/>
            </a:ext>
          </a:extLst>
        </xdr:cNvPr>
        <xdr:cNvSpPr txBox="1"/>
      </xdr:nvSpPr>
      <xdr:spPr>
        <a:xfrm>
          <a:off x="9584685" y="4200029"/>
          <a:ext cx="2098431" cy="19091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IN" sz="1200" b="1">
              <a:solidFill>
                <a:schemeClr val="bg2">
                  <a:lumMod val="25000"/>
                </a:schemeClr>
              </a:solidFill>
            </a:rPr>
            <a:t>Top</a:t>
          </a:r>
          <a:r>
            <a:rPr lang="en-IN" sz="1200" b="1" baseline="0">
              <a:solidFill>
                <a:schemeClr val="bg2">
                  <a:lumMod val="25000"/>
                </a:schemeClr>
              </a:solidFill>
            </a:rPr>
            <a:t> 10 Cities By Orders</a:t>
          </a:r>
          <a:endParaRPr lang="en-IN" sz="1200" b="1">
            <a:solidFill>
              <a:schemeClr val="bg2">
                <a:lumMod val="25000"/>
              </a:schemeClr>
            </a:solidFill>
          </a:endParaRPr>
        </a:p>
      </xdr:txBody>
    </xdr:sp>
    <xdr:clientData/>
  </xdr:twoCellAnchor>
  <xdr:twoCellAnchor>
    <xdr:from>
      <xdr:col>7</xdr:col>
      <xdr:colOff>266867</xdr:colOff>
      <xdr:row>22</xdr:row>
      <xdr:rowOff>112636</xdr:rowOff>
    </xdr:from>
    <xdr:to>
      <xdr:col>10</xdr:col>
      <xdr:colOff>536498</xdr:colOff>
      <xdr:row>23</xdr:row>
      <xdr:rowOff>118498</xdr:rowOff>
    </xdr:to>
    <xdr:sp macro="" textlink="">
      <xdr:nvSpPr>
        <xdr:cNvPr id="37" name="TextBox 36">
          <a:extLst>
            <a:ext uri="{FF2B5EF4-FFF2-40B4-BE49-F238E27FC236}">
              <a16:creationId xmlns:a16="http://schemas.microsoft.com/office/drawing/2014/main" id="{02AF260D-218E-436C-BA00-A2ADB1B3D3F9}"/>
            </a:ext>
          </a:extLst>
        </xdr:cNvPr>
        <xdr:cNvSpPr txBox="1"/>
      </xdr:nvSpPr>
      <xdr:spPr>
        <a:xfrm>
          <a:off x="4534067" y="4057107"/>
          <a:ext cx="2098431" cy="18515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IN" sz="1200" b="1" baseline="0">
              <a:solidFill>
                <a:schemeClr val="bg2">
                  <a:lumMod val="25000"/>
                </a:schemeClr>
              </a:solidFill>
            </a:rPr>
            <a:t>Category Wise Revenue</a:t>
          </a:r>
          <a:endParaRPr lang="en-IN" sz="1200" b="1">
            <a:solidFill>
              <a:schemeClr val="bg2">
                <a:lumMod val="25000"/>
              </a:schemeClr>
            </a:solidFill>
          </a:endParaRPr>
        </a:p>
      </xdr:txBody>
    </xdr:sp>
    <xdr:clientData/>
  </xdr:twoCellAnchor>
  <xdr:twoCellAnchor editAs="oneCell">
    <xdr:from>
      <xdr:col>1</xdr:col>
      <xdr:colOff>323850</xdr:colOff>
      <xdr:row>14</xdr:row>
      <xdr:rowOff>28302</xdr:rowOff>
    </xdr:from>
    <xdr:to>
      <xdr:col>4</xdr:col>
      <xdr:colOff>323850</xdr:colOff>
      <xdr:row>20</xdr:row>
      <xdr:rowOff>118404</xdr:rowOff>
    </xdr:to>
    <mc:AlternateContent xmlns:mc="http://schemas.openxmlformats.org/markup-compatibility/2006" xmlns:a14="http://schemas.microsoft.com/office/drawing/2010/main">
      <mc:Choice Requires="a14">
        <xdr:graphicFrame macro="">
          <xdr:nvGraphicFramePr>
            <xdr:cNvPr id="8" name="Order_Date (Month) 1">
              <a:extLst>
                <a:ext uri="{FF2B5EF4-FFF2-40B4-BE49-F238E27FC236}">
                  <a16:creationId xmlns:a16="http://schemas.microsoft.com/office/drawing/2014/main" id="{1DC81347-4267-44DE-9142-2047B97D17BB}"/>
                </a:ext>
              </a:extLst>
            </xdr:cNvPr>
            <xdr:cNvGraphicFramePr/>
          </xdr:nvGraphicFramePr>
          <xdr:xfrm>
            <a:off x="0" y="0"/>
            <a:ext cx="0" cy="0"/>
          </xdr:xfrm>
          <a:graphic>
            <a:graphicData uri="http://schemas.microsoft.com/office/drawing/2010/slicer">
              <sle:slicer xmlns:sle="http://schemas.microsoft.com/office/drawing/2010/slicer" name="Order_Date (Month) 1"/>
            </a:graphicData>
          </a:graphic>
        </xdr:graphicFrame>
      </mc:Choice>
      <mc:Fallback xmlns="">
        <xdr:sp macro="" textlink="">
          <xdr:nvSpPr>
            <xdr:cNvPr id="0" name=""/>
            <xdr:cNvSpPr>
              <a:spLocks noTextEdit="1"/>
            </xdr:cNvSpPr>
          </xdr:nvSpPr>
          <xdr:spPr>
            <a:xfrm>
              <a:off x="933450" y="2619102"/>
              <a:ext cx="1828800" cy="120044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323850</xdr:colOff>
      <xdr:row>22</xdr:row>
      <xdr:rowOff>90351</xdr:rowOff>
    </xdr:from>
    <xdr:to>
      <xdr:col>4</xdr:col>
      <xdr:colOff>323850</xdr:colOff>
      <xdr:row>29</xdr:row>
      <xdr:rowOff>3265</xdr:rowOff>
    </xdr:to>
    <mc:AlternateContent xmlns:mc="http://schemas.openxmlformats.org/markup-compatibility/2006" xmlns:a14="http://schemas.microsoft.com/office/drawing/2010/main">
      <mc:Choice Requires="a14">
        <xdr:graphicFrame macro="">
          <xdr:nvGraphicFramePr>
            <xdr:cNvPr id="21" name="Occasion 1">
              <a:extLst>
                <a:ext uri="{FF2B5EF4-FFF2-40B4-BE49-F238E27FC236}">
                  <a16:creationId xmlns:a16="http://schemas.microsoft.com/office/drawing/2014/main" id="{DA5E2D5D-0AE5-4050-8827-2E2CD2B9169C}"/>
                </a:ext>
              </a:extLst>
            </xdr:cNvPr>
            <xdr:cNvGraphicFramePr/>
          </xdr:nvGraphicFramePr>
          <xdr:xfrm>
            <a:off x="0" y="0"/>
            <a:ext cx="0" cy="0"/>
          </xdr:xfrm>
          <a:graphic>
            <a:graphicData uri="http://schemas.microsoft.com/office/drawing/2010/slicer">
              <sle:slicer xmlns:sle="http://schemas.microsoft.com/office/drawing/2010/slicer" name="Occasion 1"/>
            </a:graphicData>
          </a:graphic>
        </xdr:graphicFrame>
      </mc:Choice>
      <mc:Fallback xmlns="">
        <xdr:sp macro="" textlink="">
          <xdr:nvSpPr>
            <xdr:cNvPr id="0" name=""/>
            <xdr:cNvSpPr>
              <a:spLocks noTextEdit="1"/>
            </xdr:cNvSpPr>
          </xdr:nvSpPr>
          <xdr:spPr>
            <a:xfrm>
              <a:off x="933450" y="4161608"/>
              <a:ext cx="1828800" cy="120831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21</xdr:col>
      <xdr:colOff>556515</xdr:colOff>
      <xdr:row>7</xdr:row>
      <xdr:rowOff>89582</xdr:rowOff>
    </xdr:from>
    <xdr:to>
      <xdr:col>29</xdr:col>
      <xdr:colOff>564637</xdr:colOff>
      <xdr:row>21</xdr:row>
      <xdr:rowOff>43862</xdr:rowOff>
    </xdr:to>
    <xdr:sp macro="" textlink="">
      <xdr:nvSpPr>
        <xdr:cNvPr id="24" name="Rectangle 23">
          <a:extLst>
            <a:ext uri="{FF2B5EF4-FFF2-40B4-BE49-F238E27FC236}">
              <a16:creationId xmlns:a16="http://schemas.microsoft.com/office/drawing/2014/main" id="{E33D0181-E021-4772-9768-52F498B90CB1}"/>
            </a:ext>
          </a:extLst>
        </xdr:cNvPr>
        <xdr:cNvSpPr/>
      </xdr:nvSpPr>
      <xdr:spPr>
        <a:xfrm>
          <a:off x="13358115" y="1384982"/>
          <a:ext cx="4884922" cy="2545080"/>
        </a:xfrm>
        <a:prstGeom prst="rect">
          <a:avLst/>
        </a:prstGeom>
        <a:solidFill>
          <a:schemeClr val="bg1"/>
        </a:solidFill>
        <a:ln>
          <a:noFill/>
        </a:ln>
        <a:effectLst>
          <a:glow rad="63500">
            <a:schemeClr val="accent6">
              <a:satMod val="175000"/>
              <a:alpha val="40000"/>
            </a:schemeClr>
          </a:glo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clientData/>
  </xdr:twoCellAnchor>
  <xdr:twoCellAnchor>
    <xdr:from>
      <xdr:col>21</xdr:col>
      <xdr:colOff>533400</xdr:colOff>
      <xdr:row>22</xdr:row>
      <xdr:rowOff>102996</xdr:rowOff>
    </xdr:from>
    <xdr:to>
      <xdr:col>29</xdr:col>
      <xdr:colOff>541522</xdr:colOff>
      <xdr:row>36</xdr:row>
      <xdr:rowOff>57276</xdr:rowOff>
    </xdr:to>
    <xdr:sp macro="" textlink="">
      <xdr:nvSpPr>
        <xdr:cNvPr id="30" name="Rectangle 29">
          <a:extLst>
            <a:ext uri="{FF2B5EF4-FFF2-40B4-BE49-F238E27FC236}">
              <a16:creationId xmlns:a16="http://schemas.microsoft.com/office/drawing/2014/main" id="{604C7A38-DC2D-4D68-A96A-91366A9D2DEC}"/>
            </a:ext>
          </a:extLst>
        </xdr:cNvPr>
        <xdr:cNvSpPr/>
      </xdr:nvSpPr>
      <xdr:spPr>
        <a:xfrm>
          <a:off x="13380076" y="4116911"/>
          <a:ext cx="4902094" cy="2508590"/>
        </a:xfrm>
        <a:prstGeom prst="rect">
          <a:avLst/>
        </a:prstGeom>
        <a:solidFill>
          <a:schemeClr val="bg1"/>
        </a:solidFill>
        <a:ln>
          <a:noFill/>
        </a:ln>
        <a:effectLst>
          <a:glow rad="63500">
            <a:schemeClr val="accent6">
              <a:satMod val="175000"/>
              <a:alpha val="40000"/>
            </a:schemeClr>
          </a:glo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clientData/>
  </xdr:twoCellAnchor>
  <xdr:twoCellAnchor>
    <xdr:from>
      <xdr:col>22</xdr:col>
      <xdr:colOff>21771</xdr:colOff>
      <xdr:row>9</xdr:row>
      <xdr:rowOff>32656</xdr:rowOff>
    </xdr:from>
    <xdr:to>
      <xdr:col>29</xdr:col>
      <xdr:colOff>511628</xdr:colOff>
      <xdr:row>20</xdr:row>
      <xdr:rowOff>163286</xdr:rowOff>
    </xdr:to>
    <xdr:graphicFrame macro="">
      <xdr:nvGraphicFramePr>
        <xdr:cNvPr id="40" name="Chart 39">
          <a:extLst>
            <a:ext uri="{FF2B5EF4-FFF2-40B4-BE49-F238E27FC236}">
              <a16:creationId xmlns:a16="http://schemas.microsoft.com/office/drawing/2014/main" id="{7E7AC381-A11A-4DA9-8831-295B7444882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24</xdr:col>
      <xdr:colOff>164503</xdr:colOff>
      <xdr:row>7</xdr:row>
      <xdr:rowOff>111354</xdr:rowOff>
    </xdr:from>
    <xdr:to>
      <xdr:col>27</xdr:col>
      <xdr:colOff>434134</xdr:colOff>
      <xdr:row>8</xdr:row>
      <xdr:rowOff>117216</xdr:rowOff>
    </xdr:to>
    <xdr:sp macro="" textlink="">
      <xdr:nvSpPr>
        <xdr:cNvPr id="41" name="TextBox 40">
          <a:extLst>
            <a:ext uri="{FF2B5EF4-FFF2-40B4-BE49-F238E27FC236}">
              <a16:creationId xmlns:a16="http://schemas.microsoft.com/office/drawing/2014/main" id="{A71B7BC9-A67C-49FD-A3C1-CE9254BDA075}"/>
            </a:ext>
          </a:extLst>
        </xdr:cNvPr>
        <xdr:cNvSpPr txBox="1"/>
      </xdr:nvSpPr>
      <xdr:spPr>
        <a:xfrm>
          <a:off x="14794903" y="1406754"/>
          <a:ext cx="2098431" cy="19091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IN" sz="1200" b="1" baseline="0">
              <a:solidFill>
                <a:schemeClr val="bg2">
                  <a:lumMod val="25000"/>
                </a:schemeClr>
              </a:solidFill>
            </a:rPr>
            <a:t> Top 5 Products  Revenue Wise</a:t>
          </a:r>
          <a:endParaRPr lang="en-IN" sz="1200" b="1">
            <a:solidFill>
              <a:schemeClr val="bg2">
                <a:lumMod val="25000"/>
              </a:schemeClr>
            </a:solidFill>
          </a:endParaRPr>
        </a:p>
      </xdr:txBody>
    </xdr:sp>
    <xdr:clientData/>
  </xdr:twoCellAnchor>
  <xdr:twoCellAnchor>
    <xdr:from>
      <xdr:col>22</xdr:col>
      <xdr:colOff>206828</xdr:colOff>
      <xdr:row>1</xdr:row>
      <xdr:rowOff>87086</xdr:rowOff>
    </xdr:from>
    <xdr:to>
      <xdr:col>30</xdr:col>
      <xdr:colOff>119742</xdr:colOff>
      <xdr:row>6</xdr:row>
      <xdr:rowOff>65314</xdr:rowOff>
    </xdr:to>
    <xdr:sp macro="" textlink="">
      <xdr:nvSpPr>
        <xdr:cNvPr id="26" name="TextBox 25">
          <a:extLst>
            <a:ext uri="{FF2B5EF4-FFF2-40B4-BE49-F238E27FC236}">
              <a16:creationId xmlns:a16="http://schemas.microsoft.com/office/drawing/2014/main" id="{62590CB3-B9F2-86F8-1257-AD2B1130699D}"/>
            </a:ext>
          </a:extLst>
        </xdr:cNvPr>
        <xdr:cNvSpPr txBox="1"/>
      </xdr:nvSpPr>
      <xdr:spPr>
        <a:xfrm>
          <a:off x="13618028" y="272143"/>
          <a:ext cx="4789714" cy="90351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2800" b="1">
              <a:solidFill>
                <a:srgbClr val="009000"/>
              </a:solidFill>
            </a:rPr>
            <a:t>Ferns and Petals Sales Analysis</a:t>
          </a:r>
        </a:p>
      </xdr:txBody>
    </xdr:sp>
    <xdr:clientData/>
  </xdr:twoCellAnchor>
  <xdr:twoCellAnchor>
    <xdr:from>
      <xdr:col>2</xdr:col>
      <xdr:colOff>200297</xdr:colOff>
      <xdr:row>11</xdr:row>
      <xdr:rowOff>93617</xdr:rowOff>
    </xdr:from>
    <xdr:to>
      <xdr:col>4</xdr:col>
      <xdr:colOff>418011</xdr:colOff>
      <xdr:row>13</xdr:row>
      <xdr:rowOff>82732</xdr:rowOff>
    </xdr:to>
    <xdr:sp macro="" textlink="">
      <xdr:nvSpPr>
        <xdr:cNvPr id="28" name="TextBox 27">
          <a:extLst>
            <a:ext uri="{FF2B5EF4-FFF2-40B4-BE49-F238E27FC236}">
              <a16:creationId xmlns:a16="http://schemas.microsoft.com/office/drawing/2014/main" id="{A857D498-FB4D-7950-3FC4-82389EF1EDE1}"/>
            </a:ext>
          </a:extLst>
        </xdr:cNvPr>
        <xdr:cNvSpPr txBox="1"/>
      </xdr:nvSpPr>
      <xdr:spPr>
        <a:xfrm>
          <a:off x="1419497" y="2105297"/>
          <a:ext cx="1436914" cy="354875"/>
        </a:xfrm>
        <a:prstGeom prst="rect">
          <a:avLst/>
        </a:prstGeom>
        <a:solidFill>
          <a:srgbClr val="009000"/>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800" b="1"/>
            <a:t>Filter</a:t>
          </a:r>
          <a:r>
            <a:rPr lang="en-IN" sz="1800" b="1" baseline="0"/>
            <a:t> Pannel</a:t>
          </a:r>
          <a:endParaRPr lang="en-IN" sz="1800" b="1"/>
        </a:p>
      </xdr:txBody>
    </xdr:sp>
    <xdr:clientData/>
  </xdr:twoCellAnchor>
  <xdr:twoCellAnchor editAs="oneCell">
    <xdr:from>
      <xdr:col>1</xdr:col>
      <xdr:colOff>541021</xdr:colOff>
      <xdr:row>11</xdr:row>
      <xdr:rowOff>118655</xdr:rowOff>
    </xdr:from>
    <xdr:to>
      <xdr:col>2</xdr:col>
      <xdr:colOff>247106</xdr:colOff>
      <xdr:row>13</xdr:row>
      <xdr:rowOff>64226</xdr:rowOff>
    </xdr:to>
    <xdr:pic>
      <xdr:nvPicPr>
        <xdr:cNvPr id="39" name="Picture 38">
          <a:extLst>
            <a:ext uri="{FF2B5EF4-FFF2-40B4-BE49-F238E27FC236}">
              <a16:creationId xmlns:a16="http://schemas.microsoft.com/office/drawing/2014/main" id="{279AA225-2A83-2E53-2BEB-A55C6095DCB3}"/>
            </a:ext>
          </a:extLst>
        </xdr:cNvPr>
        <xdr:cNvPicPr>
          <a:picLocks noChangeAspect="1"/>
        </xdr:cNvPicPr>
      </xdr:nvPicPr>
      <xdr:blipFill>
        <a:blip xmlns:r="http://schemas.openxmlformats.org/officeDocument/2006/relationships" r:embed="rId10" cstate="print">
          <a:extLst>
            <a:ext uri="{28A0092B-C50C-407E-A947-70E740481C1C}">
              <a14:useLocalDpi xmlns:a14="http://schemas.microsoft.com/office/drawing/2010/main" val="0"/>
            </a:ext>
          </a:extLst>
        </a:blip>
        <a:stretch>
          <a:fillRect/>
        </a:stretch>
      </xdr:blipFill>
      <xdr:spPr>
        <a:xfrm>
          <a:off x="1150621" y="2154284"/>
          <a:ext cx="315685" cy="315685"/>
        </a:xfrm>
        <a:prstGeom prst="rect">
          <a:avLst/>
        </a:prstGeom>
      </xdr:spPr>
    </xdr:pic>
    <xdr:clientData/>
  </xdr:twoCellAnchor>
  <xdr:twoCellAnchor>
    <xdr:from>
      <xdr:col>22</xdr:col>
      <xdr:colOff>0</xdr:colOff>
      <xdr:row>23</xdr:row>
      <xdr:rowOff>185056</xdr:rowOff>
    </xdr:from>
    <xdr:to>
      <xdr:col>29</xdr:col>
      <xdr:colOff>446314</xdr:colOff>
      <xdr:row>35</xdr:row>
      <xdr:rowOff>163285</xdr:rowOff>
    </xdr:to>
    <xdr:graphicFrame macro="">
      <xdr:nvGraphicFramePr>
        <xdr:cNvPr id="42" name="Chart 41">
          <a:extLst>
            <a:ext uri="{FF2B5EF4-FFF2-40B4-BE49-F238E27FC236}">
              <a16:creationId xmlns:a16="http://schemas.microsoft.com/office/drawing/2014/main" id="{C7AAE03E-6276-4686-88F1-60F0A4286C0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1</xdr:col>
      <xdr:colOff>340179</xdr:colOff>
      <xdr:row>5</xdr:row>
      <xdr:rowOff>185055</xdr:rowOff>
    </xdr:from>
    <xdr:to>
      <xdr:col>4</xdr:col>
      <xdr:colOff>307522</xdr:colOff>
      <xdr:row>8</xdr:row>
      <xdr:rowOff>119741</xdr:rowOff>
    </xdr:to>
    <xdr:sp macro="" textlink="">
      <xdr:nvSpPr>
        <xdr:cNvPr id="45" name="TextBox 44">
          <a:extLst>
            <a:ext uri="{FF2B5EF4-FFF2-40B4-BE49-F238E27FC236}">
              <a16:creationId xmlns:a16="http://schemas.microsoft.com/office/drawing/2014/main" id="{13D3A9A4-3350-2007-97FA-BD98F0D0FF77}"/>
            </a:ext>
          </a:extLst>
        </xdr:cNvPr>
        <xdr:cNvSpPr txBox="1"/>
      </xdr:nvSpPr>
      <xdr:spPr>
        <a:xfrm>
          <a:off x="949779" y="1110341"/>
          <a:ext cx="1796143" cy="489857"/>
        </a:xfrm>
        <a:prstGeom prst="rect">
          <a:avLst/>
        </a:prstGeom>
        <a:solidFill>
          <a:srgbClr val="009000"/>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2800" b="1">
              <a:solidFill>
                <a:schemeClr val="bg1"/>
              </a:solidFill>
            </a:rPr>
            <a:t>Dashboard</a:t>
          </a:r>
        </a:p>
      </xdr:txBody>
    </xdr:sp>
    <xdr:clientData/>
  </xdr:twoCellAnchor>
  <xdr:twoCellAnchor editAs="oneCell">
    <xdr:from>
      <xdr:col>1</xdr:col>
      <xdr:colOff>389165</xdr:colOff>
      <xdr:row>2</xdr:row>
      <xdr:rowOff>87087</xdr:rowOff>
    </xdr:from>
    <xdr:to>
      <xdr:col>4</xdr:col>
      <xdr:colOff>258536</xdr:colOff>
      <xdr:row>6</xdr:row>
      <xdr:rowOff>26126</xdr:rowOff>
    </xdr:to>
    <xdr:pic>
      <xdr:nvPicPr>
        <xdr:cNvPr id="47" name="Picture 46">
          <a:extLst>
            <a:ext uri="{FF2B5EF4-FFF2-40B4-BE49-F238E27FC236}">
              <a16:creationId xmlns:a16="http://schemas.microsoft.com/office/drawing/2014/main" id="{F4054AB5-0A86-F5A9-33CE-137F697720EA}"/>
            </a:ext>
          </a:extLst>
        </xdr:cNvPr>
        <xdr:cNvPicPr>
          <a:picLocks noChangeAspect="1"/>
        </xdr:cNvPicPr>
      </xdr:nvPicPr>
      <xdr:blipFill>
        <a:blip xmlns:r="http://schemas.openxmlformats.org/officeDocument/2006/relationships" r:embed="rId12" cstate="print">
          <a:extLst>
            <a:ext uri="{28A0092B-C50C-407E-A947-70E740481C1C}">
              <a14:useLocalDpi xmlns:a14="http://schemas.microsoft.com/office/drawing/2010/main" val="0"/>
            </a:ext>
          </a:extLst>
        </a:blip>
        <a:stretch>
          <a:fillRect/>
        </a:stretch>
      </xdr:blipFill>
      <xdr:spPr>
        <a:xfrm>
          <a:off x="998765" y="457201"/>
          <a:ext cx="1698171" cy="679268"/>
        </a:xfrm>
        <a:prstGeom prst="rect">
          <a:avLst/>
        </a:prstGeom>
      </xdr:spPr>
    </xdr:pic>
    <xdr:clientData/>
  </xdr:twoCellAnchor>
  <xdr:twoCellAnchor editAs="oneCell">
    <xdr:from>
      <xdr:col>1</xdr:col>
      <xdr:colOff>500745</xdr:colOff>
      <xdr:row>33</xdr:row>
      <xdr:rowOff>76202</xdr:rowOff>
    </xdr:from>
    <xdr:to>
      <xdr:col>2</xdr:col>
      <xdr:colOff>337459</xdr:colOff>
      <xdr:row>35</xdr:row>
      <xdr:rowOff>152402</xdr:rowOff>
    </xdr:to>
    <xdr:pic>
      <xdr:nvPicPr>
        <xdr:cNvPr id="43" name="Picture 42">
          <a:hlinkClick xmlns:r="http://schemas.openxmlformats.org/officeDocument/2006/relationships" r:id="rId13"/>
          <a:extLst>
            <a:ext uri="{FF2B5EF4-FFF2-40B4-BE49-F238E27FC236}">
              <a16:creationId xmlns:a16="http://schemas.microsoft.com/office/drawing/2014/main" id="{0EB9B698-9D26-C540-BE27-54E9479E33A9}"/>
            </a:ext>
          </a:extLst>
        </xdr:cNvPr>
        <xdr:cNvPicPr>
          <a:picLocks noChangeAspect="1"/>
        </xdr:cNvPicPr>
      </xdr:nvPicPr>
      <xdr:blipFill>
        <a:blip xmlns:r="http://schemas.openxmlformats.org/officeDocument/2006/relationships" r:embed="rId14" cstate="print">
          <a:extLst>
            <a:ext uri="{28A0092B-C50C-407E-A947-70E740481C1C}">
              <a14:useLocalDpi xmlns:a14="http://schemas.microsoft.com/office/drawing/2010/main" val="0"/>
            </a:ext>
          </a:extLst>
        </a:blip>
        <a:stretch>
          <a:fillRect/>
        </a:stretch>
      </xdr:blipFill>
      <xdr:spPr>
        <a:xfrm>
          <a:off x="1110345" y="6183088"/>
          <a:ext cx="446314" cy="446314"/>
        </a:xfrm>
        <a:prstGeom prst="rect">
          <a:avLst/>
        </a:prstGeom>
      </xdr:spPr>
    </xdr:pic>
    <xdr:clientData/>
  </xdr:twoCellAnchor>
  <xdr:twoCellAnchor editAs="oneCell">
    <xdr:from>
      <xdr:col>3</xdr:col>
      <xdr:colOff>228601</xdr:colOff>
      <xdr:row>33</xdr:row>
      <xdr:rowOff>43543</xdr:rowOff>
    </xdr:from>
    <xdr:to>
      <xdr:col>4</xdr:col>
      <xdr:colOff>163287</xdr:colOff>
      <xdr:row>36</xdr:row>
      <xdr:rowOff>32658</xdr:rowOff>
    </xdr:to>
    <xdr:pic>
      <xdr:nvPicPr>
        <xdr:cNvPr id="46" name="Picture 45">
          <a:hlinkClick xmlns:r="http://schemas.openxmlformats.org/officeDocument/2006/relationships" r:id="rId15"/>
          <a:extLst>
            <a:ext uri="{FF2B5EF4-FFF2-40B4-BE49-F238E27FC236}">
              <a16:creationId xmlns:a16="http://schemas.microsoft.com/office/drawing/2014/main" id="{AD92EF18-17B7-23CB-D8F1-E4B9DB520D55}"/>
            </a:ext>
          </a:extLst>
        </xdr:cNvPr>
        <xdr:cNvPicPr>
          <a:picLocks noChangeAspect="1"/>
        </xdr:cNvPicPr>
      </xdr:nvPicPr>
      <xdr:blipFill>
        <a:blip xmlns:r="http://schemas.openxmlformats.org/officeDocument/2006/relationships" r:embed="rId16" cstate="print">
          <a:extLst>
            <a:ext uri="{28A0092B-C50C-407E-A947-70E740481C1C}">
              <a14:useLocalDpi xmlns:a14="http://schemas.microsoft.com/office/drawing/2010/main" val="0"/>
            </a:ext>
          </a:extLst>
        </a:blip>
        <a:stretch>
          <a:fillRect/>
        </a:stretch>
      </xdr:blipFill>
      <xdr:spPr>
        <a:xfrm>
          <a:off x="2057401" y="6150429"/>
          <a:ext cx="544286" cy="544286"/>
        </a:xfrm>
        <a:prstGeom prst="rect">
          <a:avLst/>
        </a:prstGeom>
      </xdr:spPr>
    </xdr:pic>
    <xdr:clientData/>
  </xdr:twoCellAnchor>
  <xdr:twoCellAnchor>
    <xdr:from>
      <xdr:col>1</xdr:col>
      <xdr:colOff>373689</xdr:colOff>
      <xdr:row>37</xdr:row>
      <xdr:rowOff>2611</xdr:rowOff>
    </xdr:from>
    <xdr:to>
      <xdr:col>4</xdr:col>
      <xdr:colOff>112432</xdr:colOff>
      <xdr:row>37</xdr:row>
      <xdr:rowOff>163285</xdr:rowOff>
    </xdr:to>
    <xdr:sp macro="" textlink="">
      <xdr:nvSpPr>
        <xdr:cNvPr id="48" name="TextBox 47">
          <a:extLst>
            <a:ext uri="{FF2B5EF4-FFF2-40B4-BE49-F238E27FC236}">
              <a16:creationId xmlns:a16="http://schemas.microsoft.com/office/drawing/2014/main" id="{5165F163-EA10-C0AF-6851-FA7BD2492F6B}"/>
            </a:ext>
          </a:extLst>
        </xdr:cNvPr>
        <xdr:cNvSpPr txBox="1"/>
      </xdr:nvSpPr>
      <xdr:spPr>
        <a:xfrm>
          <a:off x="984499" y="6715468"/>
          <a:ext cx="1571171" cy="1606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100" b="1"/>
            <a:t>Mahesh Mahajan </a:t>
          </a:r>
        </a:p>
      </xdr:txBody>
    </xdr:sp>
    <xdr:clientData/>
  </xdr:twoCellAnchor>
  <xdr:twoCellAnchor>
    <xdr:from>
      <xdr:col>24</xdr:col>
      <xdr:colOff>103806</xdr:colOff>
      <xdr:row>22</xdr:row>
      <xdr:rowOff>119208</xdr:rowOff>
    </xdr:from>
    <xdr:to>
      <xdr:col>27</xdr:col>
      <xdr:colOff>550115</xdr:colOff>
      <xdr:row>23</xdr:row>
      <xdr:rowOff>125070</xdr:rowOff>
    </xdr:to>
    <xdr:sp macro="" textlink="">
      <xdr:nvSpPr>
        <xdr:cNvPr id="49" name="TextBox 48">
          <a:extLst>
            <a:ext uri="{FF2B5EF4-FFF2-40B4-BE49-F238E27FC236}">
              <a16:creationId xmlns:a16="http://schemas.microsoft.com/office/drawing/2014/main" id="{5D7D87AF-92E9-4492-9AE0-18B66005D6B3}"/>
            </a:ext>
          </a:extLst>
        </xdr:cNvPr>
        <xdr:cNvSpPr txBox="1"/>
      </xdr:nvSpPr>
      <xdr:spPr>
        <a:xfrm>
          <a:off x="14695295" y="4221038"/>
          <a:ext cx="2270246" cy="19230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IN" sz="1200" b="1" baseline="0">
              <a:solidFill>
                <a:schemeClr val="bg2">
                  <a:lumMod val="25000"/>
                </a:schemeClr>
              </a:solidFill>
            </a:rPr>
            <a:t>Hours Wise Revenue(Order Time)</a:t>
          </a:r>
          <a:endParaRPr lang="en-IN" sz="1200" b="1">
            <a:solidFill>
              <a:schemeClr val="bg2">
                <a:lumMod val="25000"/>
              </a:schemeClr>
            </a:solidFill>
          </a:endParaRPr>
        </a:p>
      </xdr:txBody>
    </xdr:sp>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ahesh Mahajan" refreshedDate="46072.02281076389" createdVersion="5" refreshedVersion="8" minRefreshableVersion="3" recordCount="0" supportSubquery="1" supportAdvancedDrill="1" xr:uid="{5E655856-06D8-439F-BAF1-80C85067844B}">
  <cacheSource type="external" connectionId="4"/>
  <cacheFields count="6">
    <cacheField name="[Measures].[Average of Delivery Time]" caption="Average of Delivery Time" numFmtId="0" hierarchy="39" level="32767"/>
    <cacheField name="[Measures].[Total Orders]" caption="Total Orders" numFmtId="0" hierarchy="26" level="32767"/>
    <cacheField name="[Measures].[Total Revenue]" caption="Total Revenue" numFmtId="0" hierarchy="27" level="32767"/>
    <cacheField name="[Measures].[Avg Order Value]" caption="Avg Order Value" numFmtId="0" hierarchy="28" level="32767"/>
    <cacheField name="[products].[Occasion].[Occasion]" caption="Occasion" numFmtId="0" hierarchy="24" level="1">
      <sharedItems containsSemiMixedTypes="0" containsNonDate="0" containsString="0"/>
    </cacheField>
    <cacheField name="[orders].[Order_Date (Month)].[Order_Date (Month)]" caption="Order_Date (Month)" numFmtId="0" hierarchy="16" level="1">
      <sharedItems containsSemiMixedTypes="0" containsNonDate="0" containsString="0"/>
    </cacheField>
  </cacheFields>
  <cacheHierarchies count="42">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orders].[Order_ID]" caption="Order_ID" attribute="1" defaultMemberUniqueName="[orders].[Order_ID].[All]" allUniqueName="[orders].[Order_ID].[All]" dimensionUniqueName="[orders]" displayFolder="" count="0" memberValueDatatype="13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defaultMemberUniqueName="[orders].[Order_Time].[All]" allUniqueName="[orders].[Order_Time].[All]" dimensionUniqueName="[orders]" displayFolder="" count="0" memberValueDatatype="20"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Delivery Time]" caption="Delivery Time" attribute="1" defaultMemberUniqueName="[orders].[Delivery Time].[All]" allUniqueName="[orders].[Delivery Time].[All]" dimensionUniqueName="[orders]" displayFolder="" count="0" memberValueDatatype="5" unbalanced="0"/>
    <cacheHierarchy uniqueName="[orders].[Revenue]" caption="Revenue" attribute="1" defaultMemberUniqueName="[orders].[Revenue].[All]" allUniqueName="[orders].[Revenue].[All]" dimensionUniqueName="[orders]" displayFolder="" count="0" memberValueDatatype="20" unbalanced="0"/>
    <cacheHierarchy uniqueName="[orders].[Order_Date (Month)]" caption="Order_Date (Month)" attribute="1" defaultMemberUniqueName="[orders].[Order_Date (Month)].[All]" allUniqueName="[orders].[Order_Date (Month)].[All]" dimensionUniqueName="[orders]" displayFolder="" count="2" memberValueDatatype="130" unbalanced="0">
      <fieldsUsage count="2">
        <fieldUsage x="-1"/>
        <fieldUsage x="5"/>
      </fieldsUsage>
    </cacheHierarchy>
    <cacheHierarchy uniqueName="[orders].[Order_Time (Hour)]" caption="Order_Time (Hour)" attribute="1" defaultMemberUniqueName="[orders].[Order_Time (Hour)].[All]" allUniqueName="[orders].[Order_Time (Hour)].[All]" dimensionUniqueName="[orders]" displayFolder="" count="0" memberValueDatatype="130" unbalanced="0"/>
    <cacheHierarchy uniqueName="[orders].[Order_Time (Minute)]" caption="Order_Time (Minute)" attribute="1" defaultMemberUniqueName="[orders].[Order_Time (Minute)].[All]" allUniqueName="[orders].[Order_Time (Minute)].[All]" dimensionUniqueName="[orders]" displayFolder="" count="0" memberValueDatatype="130" unbalanced="0"/>
    <cacheHierarchy uniqueName="[orders].[Order_Time (Second)]" caption="Order_Time (Second)" attribute="1" defaultMemberUniqueName="[orders].[Order_Time (Second)].[All]" allUniqueName="[orders].[Order_Time (Second)].[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2" memberValueDatatype="130" unbalanced="0">
      <fieldsUsage count="2">
        <fieldUsage x="-1"/>
        <fieldUsage x="4"/>
      </fieldsUsage>
    </cacheHierarchy>
    <cacheHierarchy uniqueName="[orders].[Order_Date (Month Index)]" caption="Order_Date (Month Index)" attribute="1" defaultMemberUniqueName="[orders].[Order_Date (Month Index)].[All]" allUniqueName="[orders].[Order_Date (Month Index)].[All]" dimensionUniqueName="[orders]" displayFolder="" count="0" memberValueDatatype="20" unbalanced="0" hidden="1"/>
    <cacheHierarchy uniqueName="[Measures].[Total Orders]" caption="Total Orders" measure="1" displayFolder="" measureGroup="orders" count="0" oneField="1">
      <fieldsUsage count="1">
        <fieldUsage x="1"/>
      </fieldsUsage>
    </cacheHierarchy>
    <cacheHierarchy uniqueName="[Measures].[Total Revenue]" caption="Total Revenue" measure="1" displayFolder="" measureGroup="orders" count="0" oneField="1">
      <fieldsUsage count="1">
        <fieldUsage x="2"/>
      </fieldsUsage>
    </cacheHierarchy>
    <cacheHierarchy uniqueName="[Measures].[Avg Order Value]" caption="Avg Order Value" measure="1" displayFolder="" measureGroup="orders" count="0" oneField="1">
      <fieldsUsage count="1">
        <fieldUsage x="3"/>
      </fieldsUsage>
    </cacheHierarchy>
    <cacheHierarchy uniqueName="[Measures].[__XL_Count products]" caption="__XL_Count products" measure="1" displayFolder="" measureGroup="products" count="0" hidden="1"/>
    <cacheHierarchy uniqueName="[Measures].[__XL_Count orders]" caption="__XL_Count orders" measure="1" displayFolder="" measureGroup="order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y uniqueName="[Measures].[Count of Order_ID]" caption="Count of Order_ID" measure="1" displayFolder="" measureGroup="orders" count="0" hidden="1">
      <extLst>
        <ext xmlns:x15="http://schemas.microsoft.com/office/spreadsheetml/2010/11/main" uri="{B97F6D7D-B522-45F9-BDA1-12C45D357490}">
          <x15:cacheHierarchy aggregatedColumn="4"/>
        </ext>
      </extLst>
    </cacheHierarchy>
    <cacheHierarchy uniqueName="[Measures].[Sum of Price (INR)]" caption="Sum of Price (INR)" measure="1" displayFolder="" measureGroup="products" count="0" hidden="1">
      <extLst>
        <ext xmlns:x15="http://schemas.microsoft.com/office/spreadsheetml/2010/11/main" uri="{B97F6D7D-B522-45F9-BDA1-12C45D357490}">
          <x15:cacheHierarchy aggregatedColumn="23"/>
        </ext>
      </extLst>
    </cacheHierarchy>
    <cacheHierarchy uniqueName="[Measures].[Sum of Product_ID]" caption="Sum of Product_ID" measure="1" displayFolder="" measureGroup="orders" count="0" hidden="1">
      <extLst>
        <ext xmlns:x15="http://schemas.microsoft.com/office/spreadsheetml/2010/11/main" uri="{B97F6D7D-B522-45F9-BDA1-12C45D357490}">
          <x15:cacheHierarchy aggregatedColumn="6"/>
        </ext>
      </extLst>
    </cacheHierarchy>
    <cacheHierarchy uniqueName="[Measures].[Count of Product_ID]" caption="Count of Product_ID" measure="1" displayFolder="" measureGroup="orders" count="0" hidden="1">
      <extLst>
        <ext xmlns:x15="http://schemas.microsoft.com/office/spreadsheetml/2010/11/main" uri="{B97F6D7D-B522-45F9-BDA1-12C45D357490}">
          <x15:cacheHierarchy aggregatedColumn="6"/>
        </ext>
      </extLst>
    </cacheHierarchy>
    <cacheHierarchy uniqueName="[Measures].[Count of Delivery Time]" caption="Count of Delivery Time" measure="1" displayFolder="" measureGroup="orders" count="0" hidden="1">
      <extLst>
        <ext xmlns:x15="http://schemas.microsoft.com/office/spreadsheetml/2010/11/main" uri="{B97F6D7D-B522-45F9-BDA1-12C45D357490}">
          <x15:cacheHierarchy aggregatedColumn="14"/>
        </ext>
      </extLst>
    </cacheHierarchy>
    <cacheHierarchy uniqueName="[Measures].[Sum of Delivery Time]" caption="Sum of Delivery Time" measure="1" displayFolder="" measureGroup="orders" count="0" hidden="1">
      <extLst>
        <ext xmlns:x15="http://schemas.microsoft.com/office/spreadsheetml/2010/11/main" uri="{B97F6D7D-B522-45F9-BDA1-12C45D357490}">
          <x15:cacheHierarchy aggregatedColumn="14"/>
        </ext>
      </extLst>
    </cacheHierarchy>
    <cacheHierarchy uniqueName="[Measures].[Average of Delivery Time]" caption="Average of Delivery Time" measure="1" displayFolder="" measureGroup="orders" count="0" oneField="1" hidden="1">
      <fieldsUsage count="1">
        <fieldUsage x="0"/>
      </fieldsUsage>
      <extLst>
        <ext xmlns:x15="http://schemas.microsoft.com/office/spreadsheetml/2010/11/main" uri="{B97F6D7D-B522-45F9-BDA1-12C45D357490}">
          <x15:cacheHierarchy aggregatedColumn="14"/>
        </ext>
      </extLst>
    </cacheHierarchy>
    <cacheHierarchy uniqueName="[Measures].[Sum of Revenue]" caption="Sum of Revenue" measure="1" displayFolder="" measureGroup="orders" count="0" hidden="1">
      <extLst>
        <ext xmlns:x15="http://schemas.microsoft.com/office/spreadsheetml/2010/11/main" uri="{B97F6D7D-B522-45F9-BDA1-12C45D357490}">
          <x15:cacheHierarchy aggregatedColumn="15"/>
        </ext>
      </extLst>
    </cacheHierarchy>
    <cacheHierarchy uniqueName="[Measures].[Count of Order_Time (Hour)]" caption="Count of Order_Time (Hour)" measure="1" displayFolder="" measureGroup="orders" count="0" hidden="1">
      <extLst>
        <ext xmlns:x15="http://schemas.microsoft.com/office/spreadsheetml/2010/11/main" uri="{B97F6D7D-B522-45F9-BDA1-12C45D357490}">
          <x15:cacheHierarchy aggregatedColumn="17"/>
        </ext>
      </extLst>
    </cacheHierarchy>
  </cacheHierarchies>
  <kpis count="0"/>
  <dimensions count="4">
    <dimension name="customers" uniqueName="[customers]" caption="customers"/>
    <dimension measure="1" name="Measures" uniqueName="[Measures]" caption="Measures"/>
    <dimension name="orders" uniqueName="[orders]" caption="orders"/>
    <dimension name="products" uniqueName="[products]" caption="products"/>
  </dimensions>
  <measureGroups count="3">
    <measureGroup name="customers" caption="customers"/>
    <measureGroup name="orders" caption="orders"/>
    <measureGroup name="products" caption="products"/>
  </measureGroups>
  <maps count="5">
    <map measureGroup="0" dimension="0"/>
    <map measureGroup="1" dimension="0"/>
    <map measureGroup="1" dimension="2"/>
    <map measureGroup="1" dimension="3"/>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ahesh Mahajan" refreshedDate="46072.022812962961" createdVersion="5" refreshedVersion="8" minRefreshableVersion="3" recordCount="0" supportSubquery="1" supportAdvancedDrill="1" xr:uid="{C567B1F6-CA91-44C0-B982-9572BF0A2E1A}">
  <cacheSource type="external" connectionId="4"/>
  <cacheFields count="4">
    <cacheField name="[customers].[Gender].[Gender]" caption="Gender" numFmtId="0" hierarchy="3" level="1">
      <sharedItems count="2">
        <s v="Female"/>
        <s v="Male"/>
      </sharedItems>
    </cacheField>
    <cacheField name="[Measures].[Total Revenue]" caption="Total Revenue" numFmtId="0" hierarchy="27" level="32767"/>
    <cacheField name="[products].[Occasion].[Occasion]" caption="Occasion" numFmtId="0" hierarchy="24" level="1">
      <sharedItems containsSemiMixedTypes="0" containsNonDate="0" containsString="0"/>
    </cacheField>
    <cacheField name="[orders].[Order_Date (Month)].[Order_Date (Month)]" caption="Order_Date (Month)" numFmtId="0" hierarchy="16" level="1">
      <sharedItems containsSemiMixedTypes="0" containsNonDate="0" containsString="0"/>
    </cacheField>
  </cacheFields>
  <cacheHierarchies count="42">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Gender]" caption="Gender" attribute="1" defaultMemberUniqueName="[customers].[Gender].[All]" allUniqueName="[customers].[Gender].[All]" dimensionUniqueName="[customers]" displayFolder="" count="2" memberValueDatatype="130" unbalanced="0">
      <fieldsUsage count="2">
        <fieldUsage x="-1"/>
        <fieldUsage x="0"/>
      </fieldsUsage>
    </cacheHierarchy>
    <cacheHierarchy uniqueName="[orders].[Order_ID]" caption="Order_ID" attribute="1" defaultMemberUniqueName="[orders].[Order_ID].[All]" allUniqueName="[orders].[Order_ID].[All]" dimensionUniqueName="[orders]" displayFolder="" count="0" memberValueDatatype="13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defaultMemberUniqueName="[orders].[Order_Time].[All]" allUniqueName="[orders].[Order_Time].[All]" dimensionUniqueName="[orders]" displayFolder="" count="0" memberValueDatatype="20"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Delivery Time]" caption="Delivery Time" attribute="1" defaultMemberUniqueName="[orders].[Delivery Time].[All]" allUniqueName="[orders].[Delivery Time].[All]" dimensionUniqueName="[orders]" displayFolder="" count="0" memberValueDatatype="5" unbalanced="0"/>
    <cacheHierarchy uniqueName="[orders].[Revenue]" caption="Revenue" attribute="1" defaultMemberUniqueName="[orders].[Revenue].[All]" allUniqueName="[orders].[Revenue].[All]" dimensionUniqueName="[orders]" displayFolder="" count="0" memberValueDatatype="20" unbalanced="0"/>
    <cacheHierarchy uniqueName="[orders].[Order_Date (Month)]" caption="Order_Date (Month)" attribute="1" defaultMemberUniqueName="[orders].[Order_Date (Month)].[All]" allUniqueName="[orders].[Order_Date (Month)].[All]" dimensionUniqueName="[orders]" displayFolder="" count="2" memberValueDatatype="130" unbalanced="0">
      <fieldsUsage count="2">
        <fieldUsage x="-1"/>
        <fieldUsage x="3"/>
      </fieldsUsage>
    </cacheHierarchy>
    <cacheHierarchy uniqueName="[orders].[Order_Time (Hour)]" caption="Order_Time (Hour)" attribute="1" defaultMemberUniqueName="[orders].[Order_Time (Hour)].[All]" allUniqueName="[orders].[Order_Time (Hour)].[All]" dimensionUniqueName="[orders]" displayFolder="" count="0" memberValueDatatype="130" unbalanced="0"/>
    <cacheHierarchy uniqueName="[orders].[Order_Time (Minute)]" caption="Order_Time (Minute)" attribute="1" defaultMemberUniqueName="[orders].[Order_Time (Minute)].[All]" allUniqueName="[orders].[Order_Time (Minute)].[All]" dimensionUniqueName="[orders]" displayFolder="" count="0" memberValueDatatype="130" unbalanced="0"/>
    <cacheHierarchy uniqueName="[orders].[Order_Time (Second)]" caption="Order_Time (Second)" attribute="1" defaultMemberUniqueName="[orders].[Order_Time (Second)].[All]" allUniqueName="[orders].[Order_Time (Second)].[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2" memberValueDatatype="130" unbalanced="0">
      <fieldsUsage count="2">
        <fieldUsage x="-1"/>
        <fieldUsage x="2"/>
      </fieldsUsage>
    </cacheHierarchy>
    <cacheHierarchy uniqueName="[orders].[Order_Date (Month Index)]" caption="Order_Date (Month Index)" attribute="1" defaultMemberUniqueName="[orders].[Order_Date (Month Index)].[All]" allUniqueName="[orders].[Order_Date (Month Index)].[All]" dimensionUniqueName="[orders]" displayFolder="" count="0" memberValueDatatype="20" unbalanced="0" hidden="1"/>
    <cacheHierarchy uniqueName="[Measures].[Total Orders]" caption="Total Orders" measure="1" displayFolder="" measureGroup="orders" count="0"/>
    <cacheHierarchy uniqueName="[Measures].[Total Revenue]" caption="Total Revenue" measure="1" displayFolder="" measureGroup="orders" count="0" oneField="1">
      <fieldsUsage count="1">
        <fieldUsage x="1"/>
      </fieldsUsage>
    </cacheHierarchy>
    <cacheHierarchy uniqueName="[Measures].[Avg Order Value]" caption="Avg Order Value" measure="1" displayFolder="" measureGroup="orders" count="0"/>
    <cacheHierarchy uniqueName="[Measures].[__XL_Count products]" caption="__XL_Count products" measure="1" displayFolder="" measureGroup="products" count="0" hidden="1"/>
    <cacheHierarchy uniqueName="[Measures].[__XL_Count orders]" caption="__XL_Count orders" measure="1" displayFolder="" measureGroup="order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y uniqueName="[Measures].[Count of Order_ID]" caption="Count of Order_ID" measure="1" displayFolder="" measureGroup="orders" count="0" hidden="1">
      <extLst>
        <ext xmlns:x15="http://schemas.microsoft.com/office/spreadsheetml/2010/11/main" uri="{B97F6D7D-B522-45F9-BDA1-12C45D357490}">
          <x15:cacheHierarchy aggregatedColumn="4"/>
        </ext>
      </extLst>
    </cacheHierarchy>
    <cacheHierarchy uniqueName="[Measures].[Sum of Price (INR)]" caption="Sum of Price (INR)" measure="1" displayFolder="" measureGroup="products" count="0" hidden="1">
      <extLst>
        <ext xmlns:x15="http://schemas.microsoft.com/office/spreadsheetml/2010/11/main" uri="{B97F6D7D-B522-45F9-BDA1-12C45D357490}">
          <x15:cacheHierarchy aggregatedColumn="23"/>
        </ext>
      </extLst>
    </cacheHierarchy>
    <cacheHierarchy uniqueName="[Measures].[Sum of Product_ID]" caption="Sum of Product_ID" measure="1" displayFolder="" measureGroup="orders" count="0" hidden="1">
      <extLst>
        <ext xmlns:x15="http://schemas.microsoft.com/office/spreadsheetml/2010/11/main" uri="{B97F6D7D-B522-45F9-BDA1-12C45D357490}">
          <x15:cacheHierarchy aggregatedColumn="6"/>
        </ext>
      </extLst>
    </cacheHierarchy>
    <cacheHierarchy uniqueName="[Measures].[Count of Product_ID]" caption="Count of Product_ID" measure="1" displayFolder="" measureGroup="orders" count="0" hidden="1">
      <extLst>
        <ext xmlns:x15="http://schemas.microsoft.com/office/spreadsheetml/2010/11/main" uri="{B97F6D7D-B522-45F9-BDA1-12C45D357490}">
          <x15:cacheHierarchy aggregatedColumn="6"/>
        </ext>
      </extLst>
    </cacheHierarchy>
    <cacheHierarchy uniqueName="[Measures].[Count of Delivery Time]" caption="Count of Delivery Time" measure="1" displayFolder="" measureGroup="orders" count="0" hidden="1">
      <extLst>
        <ext xmlns:x15="http://schemas.microsoft.com/office/spreadsheetml/2010/11/main" uri="{B97F6D7D-B522-45F9-BDA1-12C45D357490}">
          <x15:cacheHierarchy aggregatedColumn="14"/>
        </ext>
      </extLst>
    </cacheHierarchy>
    <cacheHierarchy uniqueName="[Measures].[Sum of Delivery Time]" caption="Sum of Delivery Time" measure="1" displayFolder="" measureGroup="orders" count="0" hidden="1">
      <extLst>
        <ext xmlns:x15="http://schemas.microsoft.com/office/spreadsheetml/2010/11/main" uri="{B97F6D7D-B522-45F9-BDA1-12C45D357490}">
          <x15:cacheHierarchy aggregatedColumn="14"/>
        </ext>
      </extLst>
    </cacheHierarchy>
    <cacheHierarchy uniqueName="[Measures].[Average of Delivery Time]" caption="Average of Delivery Time" measure="1" displayFolder="" measureGroup="orders" count="0" hidden="1">
      <extLst>
        <ext xmlns:x15="http://schemas.microsoft.com/office/spreadsheetml/2010/11/main" uri="{B97F6D7D-B522-45F9-BDA1-12C45D357490}">
          <x15:cacheHierarchy aggregatedColumn="14"/>
        </ext>
      </extLst>
    </cacheHierarchy>
    <cacheHierarchy uniqueName="[Measures].[Sum of Revenue]" caption="Sum of Revenue" measure="1" displayFolder="" measureGroup="orders" count="0" hidden="1">
      <extLst>
        <ext xmlns:x15="http://schemas.microsoft.com/office/spreadsheetml/2010/11/main" uri="{B97F6D7D-B522-45F9-BDA1-12C45D357490}">
          <x15:cacheHierarchy aggregatedColumn="15"/>
        </ext>
      </extLst>
    </cacheHierarchy>
    <cacheHierarchy uniqueName="[Measures].[Count of Order_Time (Hour)]" caption="Count of Order_Time (Hour)" measure="1" displayFolder="" measureGroup="orders" count="0" hidden="1">
      <extLst>
        <ext xmlns:x15="http://schemas.microsoft.com/office/spreadsheetml/2010/11/main" uri="{B97F6D7D-B522-45F9-BDA1-12C45D357490}">
          <x15:cacheHierarchy aggregatedColumn="17"/>
        </ext>
      </extLst>
    </cacheHierarchy>
  </cacheHierarchies>
  <kpis count="0"/>
  <dimensions count="4">
    <dimension name="customers" uniqueName="[customers]" caption="customers"/>
    <dimension measure="1" name="Measures" uniqueName="[Measures]" caption="Measures"/>
    <dimension name="orders" uniqueName="[orders]" caption="orders"/>
    <dimension name="products" uniqueName="[products]" caption="products"/>
  </dimensions>
  <measureGroups count="3">
    <measureGroup name="customers" caption="customers"/>
    <measureGroup name="orders" caption="orders"/>
    <measureGroup name="products" caption="products"/>
  </measureGroups>
  <maps count="5">
    <map measureGroup="0" dimension="0"/>
    <map measureGroup="1" dimension="0"/>
    <map measureGroup="1" dimension="2"/>
    <map measureGroup="1" dimension="3"/>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ahesh Mahajan" refreshedDate="46072.022814351854" createdVersion="5" refreshedVersion="8" minRefreshableVersion="3" recordCount="0" supportSubquery="1" supportAdvancedDrill="1" xr:uid="{7719DDF3-5E9D-4EAB-A983-10F8CC2B3461}">
  <cacheSource type="external" connectionId="4"/>
  <cacheFields count="4">
    <cacheField name="[Measures].[Total Revenue]" caption="Total Revenue" numFmtId="0" hierarchy="27" level="32767"/>
    <cacheField name="[orders].[Order_Date].[Order_Date]" caption="Order_Date" numFmtId="0" hierarchy="8" level="1">
      <sharedItems containsSemiMixedTypes="0" containsNonDate="0" containsDate="1" containsString="0" minDate="2023-01-01T00:00:00" maxDate="2023-12-30T00:00:00" count="286">
        <d v="2023-01-01T00:00:00"/>
        <d v="2023-01-02T00:00:00"/>
        <d v="2023-01-03T00:00:00"/>
        <d v="2023-01-05T00:00:00"/>
        <d v="2023-01-06T00:00:00"/>
        <d v="2023-01-07T00:00:00"/>
        <d v="2023-01-08T00:00:00"/>
        <d v="2023-01-10T00:00:00"/>
        <d v="2023-01-11T00:00:00"/>
        <d v="2023-01-12T00:00:00"/>
        <d v="2023-01-13T00:00:00"/>
        <d v="2023-01-14T00:00:00"/>
        <d v="2023-01-15T00:00:00"/>
        <d v="2023-01-16T00:00:00"/>
        <d v="2023-01-18T00:00:00"/>
        <d v="2023-01-19T00:00:00"/>
        <d v="2023-01-23T00:00:00"/>
        <d v="2023-01-24T00:00:00"/>
        <d v="2023-01-25T00:00:00"/>
        <d v="2023-01-27T00:00:00"/>
        <d v="2023-01-28T00:00:00"/>
        <d v="2023-01-29T00:00:00"/>
        <d v="2023-01-30T00:00:00"/>
        <d v="2023-01-31T00:00:00"/>
        <d v="2023-02-01T00:00:00"/>
        <d v="2023-02-02T00:00:00"/>
        <d v="2023-02-03T00:00:00"/>
        <d v="2023-02-04T00:00:00"/>
        <d v="2023-02-05T00:00:00"/>
        <d v="2023-02-06T00:00:00"/>
        <d v="2023-02-07T00:00:00"/>
        <d v="2023-02-08T00:00:00"/>
        <d v="2023-02-09T00:00:00"/>
        <d v="2023-02-10T00:00:00"/>
        <d v="2023-02-11T00:00:00"/>
        <d v="2023-02-12T00:00:00"/>
        <d v="2023-02-13T00:00:00"/>
        <d v="2023-02-14T00:00:00"/>
        <d v="2023-02-16T00:00:00"/>
        <d v="2023-02-17T00:00:00"/>
        <d v="2023-02-18T00:00:00"/>
        <d v="2023-02-19T00:00:00"/>
        <d v="2023-02-21T00:00:00"/>
        <d v="2023-02-22T00:00:00"/>
        <d v="2023-02-23T00:00:00"/>
        <d v="2023-02-24T00:00:00"/>
        <d v="2023-02-26T00:00:00"/>
        <d v="2023-02-27T00:00:00"/>
        <d v="2023-02-28T00:00:00"/>
        <d v="2023-03-01T00:00:00"/>
        <d v="2023-03-02T00:00:00"/>
        <d v="2023-03-03T00:00:00"/>
        <d v="2023-03-04T00:00:00"/>
        <d v="2023-03-05T00:00:00"/>
        <d v="2023-03-06T00:00:00"/>
        <d v="2023-03-07T00:00:00"/>
        <d v="2023-03-08T00:00:00"/>
        <d v="2023-03-09T00:00:00"/>
        <d v="2023-03-10T00:00:00"/>
        <d v="2023-03-11T00:00:00"/>
        <d v="2023-03-12T00:00:00"/>
        <d v="2023-03-14T00:00:00"/>
        <d v="2023-03-15T00:00:00"/>
        <d v="2023-03-17T00:00:00"/>
        <d v="2023-03-18T00:00:00"/>
        <d v="2023-03-19T00:00:00"/>
        <d v="2023-03-20T00:00:00"/>
        <d v="2023-03-21T00:00:00"/>
        <d v="2023-03-22T00:00:00"/>
        <d v="2023-03-23T00:00:00"/>
        <d v="2023-03-24T00:00:00"/>
        <d v="2023-03-25T00:00:00"/>
        <d v="2023-03-27T00:00:00"/>
        <d v="2023-03-28T00:00:00"/>
        <d v="2023-03-29T00:00:00"/>
        <d v="2023-04-01T00:00:00"/>
        <d v="2023-04-02T00:00:00"/>
        <d v="2023-04-05T00:00:00"/>
        <d v="2023-04-06T00:00:00"/>
        <d v="2023-04-07T00:00:00"/>
        <d v="2023-04-08T00:00:00"/>
        <d v="2023-04-09T00:00:00"/>
        <d v="2023-04-10T00:00:00"/>
        <d v="2023-04-11T00:00:00"/>
        <d v="2023-04-13T00:00:00"/>
        <d v="2023-04-14T00:00:00"/>
        <d v="2023-04-15T00:00:00"/>
        <d v="2023-04-16T00:00:00"/>
        <d v="2023-04-17T00:00:00"/>
        <d v="2023-04-18T00:00:00"/>
        <d v="2023-04-19T00:00:00"/>
        <d v="2023-04-22T00:00:00"/>
        <d v="2023-04-23T00:00:00"/>
        <d v="2023-04-25T00:00:00"/>
        <d v="2023-04-26T00:00:00"/>
        <d v="2023-04-28T00:00:00"/>
        <d v="2023-04-30T00:00:00"/>
        <d v="2023-05-01T00:00:00"/>
        <d v="2023-05-02T00:00:00"/>
        <d v="2023-05-05T00:00:00"/>
        <d v="2023-05-06T00:00:00"/>
        <d v="2023-05-07T00:00:00"/>
        <d v="2023-05-08T00:00:00"/>
        <d v="2023-05-09T00:00:00"/>
        <d v="2023-05-10T00:00:00"/>
        <d v="2023-05-11T00:00:00"/>
        <d v="2023-05-12T00:00:00"/>
        <d v="2023-05-13T00:00:00"/>
        <d v="2023-05-14T00:00:00"/>
        <d v="2023-05-15T00:00:00"/>
        <d v="2023-05-16T00:00:00"/>
        <d v="2023-05-18T00:00:00"/>
        <d v="2023-05-19T00:00:00"/>
        <d v="2023-05-21T00:00:00"/>
        <d v="2023-05-22T00:00:00"/>
        <d v="2023-05-24T00:00:00"/>
        <d v="2023-05-26T00:00:00"/>
        <d v="2023-05-27T00:00:00"/>
        <d v="2023-05-28T00:00:00"/>
        <d v="2023-05-29T00:00:00"/>
        <d v="2023-06-01T00:00:00"/>
        <d v="2023-06-02T00:00:00"/>
        <d v="2023-06-03T00:00:00"/>
        <d v="2023-06-04T00:00:00"/>
        <d v="2023-06-05T00:00:00"/>
        <d v="2023-06-07T00:00:00"/>
        <d v="2023-06-08T00:00:00"/>
        <d v="2023-06-09T00:00:00"/>
        <d v="2023-06-11T00:00:00"/>
        <d v="2023-06-12T00:00:00"/>
        <d v="2023-06-13T00:00:00"/>
        <d v="2023-06-14T00:00:00"/>
        <d v="2023-06-16T00:00:00"/>
        <d v="2023-06-17T00:00:00"/>
        <d v="2023-06-19T00:00:00"/>
        <d v="2023-06-20T00:00:00"/>
        <d v="2023-06-21T00:00:00"/>
        <d v="2023-06-22T00:00:00"/>
        <d v="2023-06-23T00:00:00"/>
        <d v="2023-06-24T00:00:00"/>
        <d v="2023-06-25T00:00:00"/>
        <d v="2023-06-26T00:00:00"/>
        <d v="2023-06-28T00:00:00"/>
        <d v="2023-06-29T00:00:00"/>
        <d v="2023-06-30T00:00:00"/>
        <d v="2023-07-02T00:00:00"/>
        <d v="2023-07-03T00:00:00"/>
        <d v="2023-07-05T00:00:00"/>
        <d v="2023-07-06T00:00:00"/>
        <d v="2023-07-07T00:00:00"/>
        <d v="2023-07-08T00:00:00"/>
        <d v="2023-07-09T00:00:00"/>
        <d v="2023-07-10T00:00:00"/>
        <d v="2023-07-11T00:00:00"/>
        <d v="2023-07-12T00:00:00"/>
        <d v="2023-07-14T00:00:00"/>
        <d v="2023-07-16T00:00:00"/>
        <d v="2023-07-17T00:00:00"/>
        <d v="2023-07-19T00:00:00"/>
        <d v="2023-07-20T00:00:00"/>
        <d v="2023-07-21T00:00:00"/>
        <d v="2023-07-22T00:00:00"/>
        <d v="2023-07-25T00:00:00"/>
        <d v="2023-07-27T00:00:00"/>
        <d v="2023-07-29T00:00:00"/>
        <d v="2023-07-30T00:00:00"/>
        <d v="2023-07-31T00:00:00"/>
        <d v="2023-08-01T00:00:00"/>
        <d v="2023-08-03T00:00:00"/>
        <d v="2023-08-04T00:00:00"/>
        <d v="2023-08-05T00:00:00"/>
        <d v="2023-08-06T00:00:00"/>
        <d v="2023-08-07T00:00:00"/>
        <d v="2023-08-08T00:00:00"/>
        <d v="2023-08-09T00:00:00"/>
        <d v="2023-08-10T00:00:00"/>
        <d v="2023-08-11T00:00:00"/>
        <d v="2023-08-14T00:00:00"/>
        <d v="2023-08-15T00:00:00"/>
        <d v="2023-08-16T00:00:00"/>
        <d v="2023-08-19T00:00:00"/>
        <d v="2023-08-20T00:00:00"/>
        <d v="2023-08-21T00:00:00"/>
        <d v="2023-08-22T00:00:00"/>
        <d v="2023-08-23T00:00:00"/>
        <d v="2023-08-24T00:00:00"/>
        <d v="2023-08-25T00:00:00"/>
        <d v="2023-08-26T00:00:00"/>
        <d v="2023-08-27T00:00:00"/>
        <d v="2023-08-28T00:00:00"/>
        <d v="2023-08-29T00:00:00"/>
        <d v="2023-08-30T00:00:00"/>
        <d v="2023-09-01T00:00:00"/>
        <d v="2023-09-02T00:00:00"/>
        <d v="2023-09-03T00:00:00"/>
        <d v="2023-09-04T00:00:00"/>
        <d v="2023-09-05T00:00:00"/>
        <d v="2023-09-06T00:00:00"/>
        <d v="2023-09-08T00:00:00"/>
        <d v="2023-09-10T00:00:00"/>
        <d v="2023-09-13T00:00:00"/>
        <d v="2023-09-14T00:00:00"/>
        <d v="2023-09-15T00:00:00"/>
        <d v="2023-09-17T00:00:00"/>
        <d v="2023-09-18T00:00:00"/>
        <d v="2023-09-19T00:00:00"/>
        <d v="2023-09-20T00:00:00"/>
        <d v="2023-09-21T00:00:00"/>
        <d v="2023-09-22T00:00:00"/>
        <d v="2023-09-23T00:00:00"/>
        <d v="2023-09-24T00:00:00"/>
        <d v="2023-09-27T00:00:00"/>
        <d v="2023-09-28T00:00:00"/>
        <d v="2023-09-29T00:00:00"/>
        <d v="2023-09-30T00:00:00"/>
        <d v="2023-10-01T00:00:00"/>
        <d v="2023-10-03T00:00:00"/>
        <d v="2023-10-05T00:00:00"/>
        <d v="2023-10-06T00:00:00"/>
        <d v="2023-10-08T00:00:00"/>
        <d v="2023-10-09T00:00:00"/>
        <d v="2023-10-11T00:00:00"/>
        <d v="2023-10-12T00:00:00"/>
        <d v="2023-10-13T00:00:00"/>
        <d v="2023-10-14T00:00:00"/>
        <d v="2023-10-16T00:00:00"/>
        <d v="2023-10-17T00:00:00"/>
        <d v="2023-10-18T00:00:00"/>
        <d v="2023-10-19T00:00:00"/>
        <d v="2023-10-20T00:00:00"/>
        <d v="2023-10-21T00:00:00"/>
        <d v="2023-10-22T00:00:00"/>
        <d v="2023-10-23T00:00:00"/>
        <d v="2023-10-24T00:00:00"/>
        <d v="2023-10-25T00:00:00"/>
        <d v="2023-10-27T00:00:00"/>
        <d v="2023-10-28T00:00:00"/>
        <d v="2023-10-29T00:00:00"/>
        <d v="2023-10-30T00:00:00"/>
        <d v="2023-11-01T00:00:00"/>
        <d v="2023-11-02T00:00:00"/>
        <d v="2023-11-03T00:00:00"/>
        <d v="2023-11-04T00:00:00"/>
        <d v="2023-11-05T00:00:00"/>
        <d v="2023-11-06T00:00:00"/>
        <d v="2023-11-07T00:00:00"/>
        <d v="2023-11-08T00:00:00"/>
        <d v="2023-11-09T00:00:00"/>
        <d v="2023-11-10T00:00:00"/>
        <d v="2023-11-11T00:00:00"/>
        <d v="2023-11-12T00:00:00"/>
        <d v="2023-11-13T00:00:00"/>
        <d v="2023-11-14T00:00:00"/>
        <d v="2023-11-17T00:00:00"/>
        <d v="2023-11-18T00:00:00"/>
        <d v="2023-11-19T00:00:00"/>
        <d v="2023-11-20T00:00:00"/>
        <d v="2023-11-21T00:00:00"/>
        <d v="2023-11-22T00:00:00"/>
        <d v="2023-11-23T00:00:00"/>
        <d v="2023-11-24T00:00:00"/>
        <d v="2023-11-27T00:00:00"/>
        <d v="2023-11-28T00:00:00"/>
        <d v="2023-11-29T00:00:00"/>
        <d v="2023-12-02T00:00:00"/>
        <d v="2023-12-03T00:00:00"/>
        <d v="2023-12-04T00:00:00"/>
        <d v="2023-12-05T00:00:00"/>
        <d v="2023-12-06T00:00:00"/>
        <d v="2023-12-08T00:00:00"/>
        <d v="2023-12-09T00:00:00"/>
        <d v="2023-12-10T00:00:00"/>
        <d v="2023-12-12T00:00:00"/>
        <d v="2023-12-13T00:00:00"/>
        <d v="2023-12-14T00:00:00"/>
        <d v="2023-12-15T00:00:00"/>
        <d v="2023-12-17T00:00:00"/>
        <d v="2023-12-19T00:00:00"/>
        <d v="2023-12-20T00:00:00"/>
        <d v="2023-12-21T00:00:00"/>
        <d v="2023-12-22T00:00:00"/>
        <d v="2023-12-23T00:00:00"/>
        <d v="2023-12-24T00:00:00"/>
        <d v="2023-12-25T00:00:00"/>
        <d v="2023-12-27T00:00:00"/>
        <d v="2023-12-29T00:00:00"/>
      </sharedItems>
    </cacheField>
    <cacheField name="[orders].[Order_Date (Month)].[Order_Date (Month)]" caption="Order_Date (Month)" numFmtId="0" hierarchy="16" level="1">
      <sharedItems count="12">
        <s v="Jan"/>
        <s v="Feb"/>
        <s v="Mar"/>
        <s v="Apr"/>
        <s v="May"/>
        <s v="Jun"/>
        <s v="Jul"/>
        <s v="Aug"/>
        <s v="Sep"/>
        <s v="Oct"/>
        <s v="Nov"/>
        <s v="Dec"/>
      </sharedItems>
    </cacheField>
    <cacheField name="[products].[Occasion].[Occasion]" caption="Occasion" numFmtId="0" hierarchy="24" level="1">
      <sharedItems containsSemiMixedTypes="0" containsNonDate="0" containsString="0"/>
    </cacheField>
  </cacheFields>
  <cacheHierarchies count="42">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orders].[Order_ID]" caption="Order_ID" attribute="1" defaultMemberUniqueName="[orders].[Order_ID].[All]" allUniqueName="[orders].[Order_ID].[All]" dimensionUniqueName="[orders]" displayFolder="" count="0" memberValueDatatype="13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fieldsUsage count="2">
        <fieldUsage x="-1"/>
        <fieldUsage x="1"/>
      </fieldsUsage>
    </cacheHierarchy>
    <cacheHierarchy uniqueName="[orders].[Order_Time]" caption="Order_Time" attribute="1" defaultMemberUniqueName="[orders].[Order_Time].[All]" allUniqueName="[orders].[Order_Time].[All]" dimensionUniqueName="[orders]" displayFolder="" count="0" memberValueDatatype="20"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Delivery Time]" caption="Delivery Time" attribute="1" defaultMemberUniqueName="[orders].[Delivery Time].[All]" allUniqueName="[orders].[Delivery Time].[All]" dimensionUniqueName="[orders]" displayFolder="" count="0" memberValueDatatype="5" unbalanced="0"/>
    <cacheHierarchy uniqueName="[orders].[Revenue]" caption="Revenue" attribute="1" defaultMemberUniqueName="[orders].[Revenue].[All]" allUniqueName="[orders].[Revenue].[All]" dimensionUniqueName="[orders]" displayFolder="" count="0" memberValueDatatype="20" unbalanced="0"/>
    <cacheHierarchy uniqueName="[orders].[Order_Date (Month)]" caption="Order_Date (Month)" attribute="1" defaultMemberUniqueName="[orders].[Order_Date (Month)].[All]" allUniqueName="[orders].[Order_Date (Month)].[All]" dimensionUniqueName="[orders]" displayFolder="" count="2" memberValueDatatype="130" unbalanced="0">
      <fieldsUsage count="2">
        <fieldUsage x="-1"/>
        <fieldUsage x="2"/>
      </fieldsUsage>
    </cacheHierarchy>
    <cacheHierarchy uniqueName="[orders].[Order_Time (Hour)]" caption="Order_Time (Hour)" attribute="1" defaultMemberUniqueName="[orders].[Order_Time (Hour)].[All]" allUniqueName="[orders].[Order_Time (Hour)].[All]" dimensionUniqueName="[orders]" displayFolder="" count="0" memberValueDatatype="130" unbalanced="0"/>
    <cacheHierarchy uniqueName="[orders].[Order_Time (Minute)]" caption="Order_Time (Minute)" attribute="1" defaultMemberUniqueName="[orders].[Order_Time (Minute)].[All]" allUniqueName="[orders].[Order_Time (Minute)].[All]" dimensionUniqueName="[orders]" displayFolder="" count="0" memberValueDatatype="130" unbalanced="0"/>
    <cacheHierarchy uniqueName="[orders].[Order_Time (Second)]" caption="Order_Time (Second)" attribute="1" defaultMemberUniqueName="[orders].[Order_Time (Second)].[All]" allUniqueName="[orders].[Order_Time (Second)].[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2" memberValueDatatype="130" unbalanced="0">
      <fieldsUsage count="2">
        <fieldUsage x="-1"/>
        <fieldUsage x="3"/>
      </fieldsUsage>
    </cacheHierarchy>
    <cacheHierarchy uniqueName="[orders].[Order_Date (Month Index)]" caption="Order_Date (Month Index)" attribute="1" defaultMemberUniqueName="[orders].[Order_Date (Month Index)].[All]" allUniqueName="[orders].[Order_Date (Month Index)].[All]" dimensionUniqueName="[orders]" displayFolder="" count="0" memberValueDatatype="20" unbalanced="0" hidden="1"/>
    <cacheHierarchy uniqueName="[Measures].[Total Orders]" caption="Total Orders" measure="1" displayFolder="" measureGroup="orders" count="0"/>
    <cacheHierarchy uniqueName="[Measures].[Total Revenue]" caption="Total Revenue" measure="1" displayFolder="" measureGroup="orders" count="0" oneField="1">
      <fieldsUsage count="1">
        <fieldUsage x="0"/>
      </fieldsUsage>
    </cacheHierarchy>
    <cacheHierarchy uniqueName="[Measures].[Avg Order Value]" caption="Avg Order Value" measure="1" displayFolder="" measureGroup="orders" count="0"/>
    <cacheHierarchy uniqueName="[Measures].[__XL_Count products]" caption="__XL_Count products" measure="1" displayFolder="" measureGroup="products" count="0" hidden="1"/>
    <cacheHierarchy uniqueName="[Measures].[__XL_Count orders]" caption="__XL_Count orders" measure="1" displayFolder="" measureGroup="order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y uniqueName="[Measures].[Count of Order_ID]" caption="Count of Order_ID" measure="1" displayFolder="" measureGroup="orders" count="0" hidden="1">
      <extLst>
        <ext xmlns:x15="http://schemas.microsoft.com/office/spreadsheetml/2010/11/main" uri="{B97F6D7D-B522-45F9-BDA1-12C45D357490}">
          <x15:cacheHierarchy aggregatedColumn="4"/>
        </ext>
      </extLst>
    </cacheHierarchy>
    <cacheHierarchy uniqueName="[Measures].[Sum of Price (INR)]" caption="Sum of Price (INR)" measure="1" displayFolder="" measureGroup="products" count="0" hidden="1">
      <extLst>
        <ext xmlns:x15="http://schemas.microsoft.com/office/spreadsheetml/2010/11/main" uri="{B97F6D7D-B522-45F9-BDA1-12C45D357490}">
          <x15:cacheHierarchy aggregatedColumn="23"/>
        </ext>
      </extLst>
    </cacheHierarchy>
    <cacheHierarchy uniqueName="[Measures].[Sum of Product_ID]" caption="Sum of Product_ID" measure="1" displayFolder="" measureGroup="orders" count="0" hidden="1">
      <extLst>
        <ext xmlns:x15="http://schemas.microsoft.com/office/spreadsheetml/2010/11/main" uri="{B97F6D7D-B522-45F9-BDA1-12C45D357490}">
          <x15:cacheHierarchy aggregatedColumn="6"/>
        </ext>
      </extLst>
    </cacheHierarchy>
    <cacheHierarchy uniqueName="[Measures].[Count of Product_ID]" caption="Count of Product_ID" measure="1" displayFolder="" measureGroup="orders" count="0" hidden="1">
      <extLst>
        <ext xmlns:x15="http://schemas.microsoft.com/office/spreadsheetml/2010/11/main" uri="{B97F6D7D-B522-45F9-BDA1-12C45D357490}">
          <x15:cacheHierarchy aggregatedColumn="6"/>
        </ext>
      </extLst>
    </cacheHierarchy>
    <cacheHierarchy uniqueName="[Measures].[Count of Delivery Time]" caption="Count of Delivery Time" measure="1" displayFolder="" measureGroup="orders" count="0" hidden="1">
      <extLst>
        <ext xmlns:x15="http://schemas.microsoft.com/office/spreadsheetml/2010/11/main" uri="{B97F6D7D-B522-45F9-BDA1-12C45D357490}">
          <x15:cacheHierarchy aggregatedColumn="14"/>
        </ext>
      </extLst>
    </cacheHierarchy>
    <cacheHierarchy uniqueName="[Measures].[Sum of Delivery Time]" caption="Sum of Delivery Time" measure="1" displayFolder="" measureGroup="orders" count="0" hidden="1">
      <extLst>
        <ext xmlns:x15="http://schemas.microsoft.com/office/spreadsheetml/2010/11/main" uri="{B97F6D7D-B522-45F9-BDA1-12C45D357490}">
          <x15:cacheHierarchy aggregatedColumn="14"/>
        </ext>
      </extLst>
    </cacheHierarchy>
    <cacheHierarchy uniqueName="[Measures].[Average of Delivery Time]" caption="Average of Delivery Time" measure="1" displayFolder="" measureGroup="orders" count="0" hidden="1">
      <extLst>
        <ext xmlns:x15="http://schemas.microsoft.com/office/spreadsheetml/2010/11/main" uri="{B97F6D7D-B522-45F9-BDA1-12C45D357490}">
          <x15:cacheHierarchy aggregatedColumn="14"/>
        </ext>
      </extLst>
    </cacheHierarchy>
    <cacheHierarchy uniqueName="[Measures].[Sum of Revenue]" caption="Sum of Revenue" measure="1" displayFolder="" measureGroup="orders" count="0" hidden="1">
      <extLst>
        <ext xmlns:x15="http://schemas.microsoft.com/office/spreadsheetml/2010/11/main" uri="{B97F6D7D-B522-45F9-BDA1-12C45D357490}">
          <x15:cacheHierarchy aggregatedColumn="15"/>
        </ext>
      </extLst>
    </cacheHierarchy>
    <cacheHierarchy uniqueName="[Measures].[Count of Order_Time (Hour)]" caption="Count of Order_Time (Hour)" measure="1" displayFolder="" measureGroup="orders" count="0" hidden="1">
      <extLst>
        <ext xmlns:x15="http://schemas.microsoft.com/office/spreadsheetml/2010/11/main" uri="{B97F6D7D-B522-45F9-BDA1-12C45D357490}">
          <x15:cacheHierarchy aggregatedColumn="17"/>
        </ext>
      </extLst>
    </cacheHierarchy>
  </cacheHierarchies>
  <kpis count="0"/>
  <dimensions count="4">
    <dimension name="customers" uniqueName="[customers]" caption="customers"/>
    <dimension measure="1" name="Measures" uniqueName="[Measures]" caption="Measures"/>
    <dimension name="orders" uniqueName="[orders]" caption="orders"/>
    <dimension name="products" uniqueName="[products]" caption="products"/>
  </dimensions>
  <measureGroups count="3">
    <measureGroup name="customers" caption="customers"/>
    <measureGroup name="orders" caption="orders"/>
    <measureGroup name="products" caption="products"/>
  </measureGroups>
  <maps count="5">
    <map measureGroup="0" dimension="0"/>
    <map measureGroup="1" dimension="0"/>
    <map measureGroup="1" dimension="2"/>
    <map measureGroup="1" dimension="3"/>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ahesh Mahajan" refreshedDate="46072.022815856479" createdVersion="5" refreshedVersion="8" minRefreshableVersion="3" recordCount="0" supportSubquery="1" supportAdvancedDrill="1" xr:uid="{CAEA0D73-7423-4F06-86D8-5FAA18B32D0A}">
  <cacheSource type="external" connectionId="4"/>
  <cacheFields count="4">
    <cacheField name="[Measures].[Total Revenue]" caption="Total Revenue" numFmtId="0" hierarchy="27" level="32767"/>
    <cacheField name="[products].[Category].[Category]" caption="Category" numFmtId="0" hierarchy="22" level="1">
      <sharedItems count="7">
        <s v="Cake"/>
        <s v="Colors"/>
        <s v="Mugs"/>
        <s v="Plants"/>
        <s v="Raksha Bandhan"/>
        <s v="Soft Toys"/>
        <s v="Sweets"/>
      </sharedItems>
    </cacheField>
    <cacheField name="[products].[Occasion].[Occasion]" caption="Occasion" numFmtId="0" hierarchy="24" level="1">
      <sharedItems containsSemiMixedTypes="0" containsNonDate="0" containsString="0"/>
    </cacheField>
    <cacheField name="[orders].[Order_Date (Month)].[Order_Date (Month)]" caption="Order_Date (Month)" numFmtId="0" hierarchy="16" level="1">
      <sharedItems containsSemiMixedTypes="0" containsNonDate="0" containsString="0"/>
    </cacheField>
  </cacheFields>
  <cacheHierarchies count="42">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orders].[Order_ID]" caption="Order_ID" attribute="1" defaultMemberUniqueName="[orders].[Order_ID].[All]" allUniqueName="[orders].[Order_ID].[All]" dimensionUniqueName="[orders]" displayFolder="" count="0" memberValueDatatype="13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defaultMemberUniqueName="[orders].[Order_Time].[All]" allUniqueName="[orders].[Order_Time].[All]" dimensionUniqueName="[orders]" displayFolder="" count="0" memberValueDatatype="20"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Delivery Time]" caption="Delivery Time" attribute="1" defaultMemberUniqueName="[orders].[Delivery Time].[All]" allUniqueName="[orders].[Delivery Time].[All]" dimensionUniqueName="[orders]" displayFolder="" count="0" memberValueDatatype="5" unbalanced="0"/>
    <cacheHierarchy uniqueName="[orders].[Revenue]" caption="Revenue" attribute="1" defaultMemberUniqueName="[orders].[Revenue].[All]" allUniqueName="[orders].[Revenue].[All]" dimensionUniqueName="[orders]" displayFolder="" count="0" memberValueDatatype="20" unbalanced="0"/>
    <cacheHierarchy uniqueName="[orders].[Order_Date (Month)]" caption="Order_Date (Month)" attribute="1" defaultMemberUniqueName="[orders].[Order_Date (Month)].[All]" allUniqueName="[orders].[Order_Date (Month)].[All]" dimensionUniqueName="[orders]" displayFolder="" count="2" memberValueDatatype="130" unbalanced="0">
      <fieldsUsage count="2">
        <fieldUsage x="-1"/>
        <fieldUsage x="3"/>
      </fieldsUsage>
    </cacheHierarchy>
    <cacheHierarchy uniqueName="[orders].[Order_Time (Hour)]" caption="Order_Time (Hour)" attribute="1" defaultMemberUniqueName="[orders].[Order_Time (Hour)].[All]" allUniqueName="[orders].[Order_Time (Hour)].[All]" dimensionUniqueName="[orders]" displayFolder="" count="0" memberValueDatatype="130" unbalanced="0"/>
    <cacheHierarchy uniqueName="[orders].[Order_Time (Minute)]" caption="Order_Time (Minute)" attribute="1" defaultMemberUniqueName="[orders].[Order_Time (Minute)].[All]" allUniqueName="[orders].[Order_Time (Minute)].[All]" dimensionUniqueName="[orders]" displayFolder="" count="0" memberValueDatatype="130" unbalanced="0"/>
    <cacheHierarchy uniqueName="[orders].[Order_Time (Second)]" caption="Order_Time (Second)" attribute="1" defaultMemberUniqueName="[orders].[Order_Time (Second)].[All]" allUniqueName="[orders].[Order_Time (Second)].[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2" memberValueDatatype="130" unbalanced="0">
      <fieldsUsage count="2">
        <fieldUsage x="-1"/>
        <fieldUsage x="1"/>
      </fieldsUsage>
    </cacheHierarchy>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2" memberValueDatatype="130" unbalanced="0">
      <fieldsUsage count="2">
        <fieldUsage x="-1"/>
        <fieldUsage x="2"/>
      </fieldsUsage>
    </cacheHierarchy>
    <cacheHierarchy uniqueName="[orders].[Order_Date (Month Index)]" caption="Order_Date (Month Index)" attribute="1" defaultMemberUniqueName="[orders].[Order_Date (Month Index)].[All]" allUniqueName="[orders].[Order_Date (Month Index)].[All]" dimensionUniqueName="[orders]" displayFolder="" count="0" memberValueDatatype="20" unbalanced="0" hidden="1"/>
    <cacheHierarchy uniqueName="[Measures].[Total Orders]" caption="Total Orders" measure="1" displayFolder="" measureGroup="orders" count="0"/>
    <cacheHierarchy uniqueName="[Measures].[Total Revenue]" caption="Total Revenue" measure="1" displayFolder="" measureGroup="orders" count="0" oneField="1">
      <fieldsUsage count="1">
        <fieldUsage x="0"/>
      </fieldsUsage>
    </cacheHierarchy>
    <cacheHierarchy uniqueName="[Measures].[Avg Order Value]" caption="Avg Order Value" measure="1" displayFolder="" measureGroup="orders" count="0"/>
    <cacheHierarchy uniqueName="[Measures].[__XL_Count products]" caption="__XL_Count products" measure="1" displayFolder="" measureGroup="products" count="0" hidden="1"/>
    <cacheHierarchy uniqueName="[Measures].[__XL_Count orders]" caption="__XL_Count orders" measure="1" displayFolder="" measureGroup="order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y uniqueName="[Measures].[Count of Order_ID]" caption="Count of Order_ID" measure="1" displayFolder="" measureGroup="orders" count="0" hidden="1">
      <extLst>
        <ext xmlns:x15="http://schemas.microsoft.com/office/spreadsheetml/2010/11/main" uri="{B97F6D7D-B522-45F9-BDA1-12C45D357490}">
          <x15:cacheHierarchy aggregatedColumn="4"/>
        </ext>
      </extLst>
    </cacheHierarchy>
    <cacheHierarchy uniqueName="[Measures].[Sum of Price (INR)]" caption="Sum of Price (INR)" measure="1" displayFolder="" measureGroup="products" count="0" hidden="1">
      <extLst>
        <ext xmlns:x15="http://schemas.microsoft.com/office/spreadsheetml/2010/11/main" uri="{B97F6D7D-B522-45F9-BDA1-12C45D357490}">
          <x15:cacheHierarchy aggregatedColumn="23"/>
        </ext>
      </extLst>
    </cacheHierarchy>
    <cacheHierarchy uniqueName="[Measures].[Sum of Product_ID]" caption="Sum of Product_ID" measure="1" displayFolder="" measureGroup="orders" count="0" hidden="1">
      <extLst>
        <ext xmlns:x15="http://schemas.microsoft.com/office/spreadsheetml/2010/11/main" uri="{B97F6D7D-B522-45F9-BDA1-12C45D357490}">
          <x15:cacheHierarchy aggregatedColumn="6"/>
        </ext>
      </extLst>
    </cacheHierarchy>
    <cacheHierarchy uniqueName="[Measures].[Count of Product_ID]" caption="Count of Product_ID" measure="1" displayFolder="" measureGroup="orders" count="0" hidden="1">
      <extLst>
        <ext xmlns:x15="http://schemas.microsoft.com/office/spreadsheetml/2010/11/main" uri="{B97F6D7D-B522-45F9-BDA1-12C45D357490}">
          <x15:cacheHierarchy aggregatedColumn="6"/>
        </ext>
      </extLst>
    </cacheHierarchy>
    <cacheHierarchy uniqueName="[Measures].[Count of Delivery Time]" caption="Count of Delivery Time" measure="1" displayFolder="" measureGroup="orders" count="0" hidden="1">
      <extLst>
        <ext xmlns:x15="http://schemas.microsoft.com/office/spreadsheetml/2010/11/main" uri="{B97F6D7D-B522-45F9-BDA1-12C45D357490}">
          <x15:cacheHierarchy aggregatedColumn="14"/>
        </ext>
      </extLst>
    </cacheHierarchy>
    <cacheHierarchy uniqueName="[Measures].[Sum of Delivery Time]" caption="Sum of Delivery Time" measure="1" displayFolder="" measureGroup="orders" count="0" hidden="1">
      <extLst>
        <ext xmlns:x15="http://schemas.microsoft.com/office/spreadsheetml/2010/11/main" uri="{B97F6D7D-B522-45F9-BDA1-12C45D357490}">
          <x15:cacheHierarchy aggregatedColumn="14"/>
        </ext>
      </extLst>
    </cacheHierarchy>
    <cacheHierarchy uniqueName="[Measures].[Average of Delivery Time]" caption="Average of Delivery Time" measure="1" displayFolder="" measureGroup="orders" count="0" hidden="1">
      <extLst>
        <ext xmlns:x15="http://schemas.microsoft.com/office/spreadsheetml/2010/11/main" uri="{B97F6D7D-B522-45F9-BDA1-12C45D357490}">
          <x15:cacheHierarchy aggregatedColumn="14"/>
        </ext>
      </extLst>
    </cacheHierarchy>
    <cacheHierarchy uniqueName="[Measures].[Sum of Revenue]" caption="Sum of Revenue" measure="1" displayFolder="" measureGroup="orders" count="0" hidden="1">
      <extLst>
        <ext xmlns:x15="http://schemas.microsoft.com/office/spreadsheetml/2010/11/main" uri="{B97F6D7D-B522-45F9-BDA1-12C45D357490}">
          <x15:cacheHierarchy aggregatedColumn="15"/>
        </ext>
      </extLst>
    </cacheHierarchy>
    <cacheHierarchy uniqueName="[Measures].[Count of Order_Time (Hour)]" caption="Count of Order_Time (Hour)" measure="1" displayFolder="" measureGroup="orders" count="0" hidden="1">
      <extLst>
        <ext xmlns:x15="http://schemas.microsoft.com/office/spreadsheetml/2010/11/main" uri="{B97F6D7D-B522-45F9-BDA1-12C45D357490}">
          <x15:cacheHierarchy aggregatedColumn="17"/>
        </ext>
      </extLst>
    </cacheHierarchy>
  </cacheHierarchies>
  <kpis count="0"/>
  <dimensions count="4">
    <dimension name="customers" uniqueName="[customers]" caption="customers"/>
    <dimension measure="1" name="Measures" uniqueName="[Measures]" caption="Measures"/>
    <dimension name="orders" uniqueName="[orders]" caption="orders"/>
    <dimension name="products" uniqueName="[products]" caption="products"/>
  </dimensions>
  <measureGroups count="3">
    <measureGroup name="customers" caption="customers"/>
    <measureGroup name="orders" caption="orders"/>
    <measureGroup name="products" caption="products"/>
  </measureGroups>
  <maps count="5">
    <map measureGroup="0" dimension="0"/>
    <map measureGroup="1" dimension="0"/>
    <map measureGroup="1" dimension="2"/>
    <map measureGroup="1" dimension="3"/>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ahesh Mahajan" refreshedDate="46072.022817824072" createdVersion="5" refreshedVersion="8" minRefreshableVersion="3" recordCount="0" supportSubquery="1" supportAdvancedDrill="1" xr:uid="{BE3276E5-1F16-4AE1-A1F9-A7C75B1D7C3C}">
  <cacheSource type="external" connectionId="4"/>
  <cacheFields count="4">
    <cacheField name="[Measures].[Total Orders]" caption="Total Orders" numFmtId="0" hierarchy="26" level="32767"/>
    <cacheField name="[customers].[City].[City]" caption="City" numFmtId="0" hierarchy="2" level="1">
      <sharedItems count="10">
        <s v="Bhatpara"/>
        <s v="Bidhannagar"/>
        <s v="Bilaspur"/>
        <s v="Dhanbad"/>
        <s v="Dibrugarh"/>
        <s v="Guntakal"/>
        <s v="Haridwar"/>
        <s v="Imphal"/>
        <s v="Kavali"/>
        <s v="North Dumdum"/>
      </sharedItems>
    </cacheField>
    <cacheField name="[products].[Occasion].[Occasion]" caption="Occasion" numFmtId="0" hierarchy="24" level="1">
      <sharedItems containsSemiMixedTypes="0" containsNonDate="0" containsString="0"/>
    </cacheField>
    <cacheField name="[orders].[Order_Date (Month)].[Order_Date (Month)]" caption="Order_Date (Month)" numFmtId="0" hierarchy="16" level="1">
      <sharedItems containsSemiMixedTypes="0" containsNonDate="0" containsString="0"/>
    </cacheField>
  </cacheFields>
  <cacheHierarchies count="42">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2" memberValueDatatype="130" unbalanced="0">
      <fieldsUsage count="2">
        <fieldUsage x="-1"/>
        <fieldUsage x="1"/>
      </fieldsUsage>
    </cacheHierarchy>
    <cacheHierarchy uniqueName="[customers].[Gender]" caption="Gender" attribute="1" defaultMemberUniqueName="[customers].[Gender].[All]" allUniqueName="[customers].[Gender].[All]" dimensionUniqueName="[customers]" displayFolder="" count="0" memberValueDatatype="130" unbalanced="0"/>
    <cacheHierarchy uniqueName="[orders].[Order_ID]" caption="Order_ID" attribute="1" defaultMemberUniqueName="[orders].[Order_ID].[All]" allUniqueName="[orders].[Order_ID].[All]" dimensionUniqueName="[orders]" displayFolder="" count="0" memberValueDatatype="13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defaultMemberUniqueName="[orders].[Order_Time].[All]" allUniqueName="[orders].[Order_Time].[All]" dimensionUniqueName="[orders]" displayFolder="" count="0" memberValueDatatype="20"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Delivery Time]" caption="Delivery Time" attribute="1" defaultMemberUniqueName="[orders].[Delivery Time].[All]" allUniqueName="[orders].[Delivery Time].[All]" dimensionUniqueName="[orders]" displayFolder="" count="0" memberValueDatatype="5" unbalanced="0"/>
    <cacheHierarchy uniqueName="[orders].[Revenue]" caption="Revenue" attribute="1" defaultMemberUniqueName="[orders].[Revenue].[All]" allUniqueName="[orders].[Revenue].[All]" dimensionUniqueName="[orders]" displayFolder="" count="0" memberValueDatatype="20" unbalanced="0"/>
    <cacheHierarchy uniqueName="[orders].[Order_Date (Month)]" caption="Order_Date (Month)" attribute="1" defaultMemberUniqueName="[orders].[Order_Date (Month)].[All]" allUniqueName="[orders].[Order_Date (Month)].[All]" dimensionUniqueName="[orders]" displayFolder="" count="2" memberValueDatatype="130" unbalanced="0">
      <fieldsUsage count="2">
        <fieldUsage x="-1"/>
        <fieldUsage x="3"/>
      </fieldsUsage>
    </cacheHierarchy>
    <cacheHierarchy uniqueName="[orders].[Order_Time (Hour)]" caption="Order_Time (Hour)" attribute="1" defaultMemberUniqueName="[orders].[Order_Time (Hour)].[All]" allUniqueName="[orders].[Order_Time (Hour)].[All]" dimensionUniqueName="[orders]" displayFolder="" count="0" memberValueDatatype="130" unbalanced="0"/>
    <cacheHierarchy uniqueName="[orders].[Order_Time (Minute)]" caption="Order_Time (Minute)" attribute="1" defaultMemberUniqueName="[orders].[Order_Time (Minute)].[All]" allUniqueName="[orders].[Order_Time (Minute)].[All]" dimensionUniqueName="[orders]" displayFolder="" count="0" memberValueDatatype="130" unbalanced="0"/>
    <cacheHierarchy uniqueName="[orders].[Order_Time (Second)]" caption="Order_Time (Second)" attribute="1" defaultMemberUniqueName="[orders].[Order_Time (Second)].[All]" allUniqueName="[orders].[Order_Time (Second)].[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2" memberValueDatatype="130" unbalanced="0">
      <fieldsUsage count="2">
        <fieldUsage x="-1"/>
        <fieldUsage x="2"/>
      </fieldsUsage>
    </cacheHierarchy>
    <cacheHierarchy uniqueName="[orders].[Order_Date (Month Index)]" caption="Order_Date (Month Index)" attribute="1" defaultMemberUniqueName="[orders].[Order_Date (Month Index)].[All]" allUniqueName="[orders].[Order_Date (Month Index)].[All]" dimensionUniqueName="[orders]" displayFolder="" count="0" memberValueDatatype="20" unbalanced="0" hidden="1"/>
    <cacheHierarchy uniqueName="[Measures].[Total Orders]" caption="Total Orders" measure="1" displayFolder="" measureGroup="orders" count="0" oneField="1">
      <fieldsUsage count="1">
        <fieldUsage x="0"/>
      </fieldsUsage>
    </cacheHierarchy>
    <cacheHierarchy uniqueName="[Measures].[Total Revenue]" caption="Total Revenue" measure="1" displayFolder="" measureGroup="orders" count="0"/>
    <cacheHierarchy uniqueName="[Measures].[Avg Order Value]" caption="Avg Order Value" measure="1" displayFolder="" measureGroup="orders" count="0"/>
    <cacheHierarchy uniqueName="[Measures].[__XL_Count products]" caption="__XL_Count products" measure="1" displayFolder="" measureGroup="products" count="0" hidden="1"/>
    <cacheHierarchy uniqueName="[Measures].[__XL_Count orders]" caption="__XL_Count orders" measure="1" displayFolder="" measureGroup="order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y uniqueName="[Measures].[Count of Order_ID]" caption="Count of Order_ID" measure="1" displayFolder="" measureGroup="orders" count="0" hidden="1">
      <extLst>
        <ext xmlns:x15="http://schemas.microsoft.com/office/spreadsheetml/2010/11/main" uri="{B97F6D7D-B522-45F9-BDA1-12C45D357490}">
          <x15:cacheHierarchy aggregatedColumn="4"/>
        </ext>
      </extLst>
    </cacheHierarchy>
    <cacheHierarchy uniqueName="[Measures].[Sum of Price (INR)]" caption="Sum of Price (INR)" measure="1" displayFolder="" measureGroup="products" count="0" hidden="1">
      <extLst>
        <ext xmlns:x15="http://schemas.microsoft.com/office/spreadsheetml/2010/11/main" uri="{B97F6D7D-B522-45F9-BDA1-12C45D357490}">
          <x15:cacheHierarchy aggregatedColumn="23"/>
        </ext>
      </extLst>
    </cacheHierarchy>
    <cacheHierarchy uniqueName="[Measures].[Sum of Product_ID]" caption="Sum of Product_ID" measure="1" displayFolder="" measureGroup="orders" count="0" hidden="1">
      <extLst>
        <ext xmlns:x15="http://schemas.microsoft.com/office/spreadsheetml/2010/11/main" uri="{B97F6D7D-B522-45F9-BDA1-12C45D357490}">
          <x15:cacheHierarchy aggregatedColumn="6"/>
        </ext>
      </extLst>
    </cacheHierarchy>
    <cacheHierarchy uniqueName="[Measures].[Count of Product_ID]" caption="Count of Product_ID" measure="1" displayFolder="" measureGroup="orders" count="0" hidden="1">
      <extLst>
        <ext xmlns:x15="http://schemas.microsoft.com/office/spreadsheetml/2010/11/main" uri="{B97F6D7D-B522-45F9-BDA1-12C45D357490}">
          <x15:cacheHierarchy aggregatedColumn="6"/>
        </ext>
      </extLst>
    </cacheHierarchy>
    <cacheHierarchy uniqueName="[Measures].[Count of Delivery Time]" caption="Count of Delivery Time" measure="1" displayFolder="" measureGroup="orders" count="0" hidden="1">
      <extLst>
        <ext xmlns:x15="http://schemas.microsoft.com/office/spreadsheetml/2010/11/main" uri="{B97F6D7D-B522-45F9-BDA1-12C45D357490}">
          <x15:cacheHierarchy aggregatedColumn="14"/>
        </ext>
      </extLst>
    </cacheHierarchy>
    <cacheHierarchy uniqueName="[Measures].[Sum of Delivery Time]" caption="Sum of Delivery Time" measure="1" displayFolder="" measureGroup="orders" count="0" hidden="1">
      <extLst>
        <ext xmlns:x15="http://schemas.microsoft.com/office/spreadsheetml/2010/11/main" uri="{B97F6D7D-B522-45F9-BDA1-12C45D357490}">
          <x15:cacheHierarchy aggregatedColumn="14"/>
        </ext>
      </extLst>
    </cacheHierarchy>
    <cacheHierarchy uniqueName="[Measures].[Average of Delivery Time]" caption="Average of Delivery Time" measure="1" displayFolder="" measureGroup="orders" count="0" hidden="1">
      <extLst>
        <ext xmlns:x15="http://schemas.microsoft.com/office/spreadsheetml/2010/11/main" uri="{B97F6D7D-B522-45F9-BDA1-12C45D357490}">
          <x15:cacheHierarchy aggregatedColumn="14"/>
        </ext>
      </extLst>
    </cacheHierarchy>
    <cacheHierarchy uniqueName="[Measures].[Sum of Revenue]" caption="Sum of Revenue" measure="1" displayFolder="" measureGroup="orders" count="0" hidden="1">
      <extLst>
        <ext xmlns:x15="http://schemas.microsoft.com/office/spreadsheetml/2010/11/main" uri="{B97F6D7D-B522-45F9-BDA1-12C45D357490}">
          <x15:cacheHierarchy aggregatedColumn="15"/>
        </ext>
      </extLst>
    </cacheHierarchy>
    <cacheHierarchy uniqueName="[Measures].[Count of Order_Time (Hour)]" caption="Count of Order_Time (Hour)" measure="1" displayFolder="" measureGroup="orders" count="0" hidden="1">
      <extLst>
        <ext xmlns:x15="http://schemas.microsoft.com/office/spreadsheetml/2010/11/main" uri="{B97F6D7D-B522-45F9-BDA1-12C45D357490}">
          <x15:cacheHierarchy aggregatedColumn="17"/>
        </ext>
      </extLst>
    </cacheHierarchy>
  </cacheHierarchies>
  <kpis count="0"/>
  <dimensions count="4">
    <dimension name="customers" uniqueName="[customers]" caption="customers"/>
    <dimension measure="1" name="Measures" uniqueName="[Measures]" caption="Measures"/>
    <dimension name="orders" uniqueName="[orders]" caption="orders"/>
    <dimension name="products" uniqueName="[products]" caption="products"/>
  </dimensions>
  <measureGroups count="3">
    <measureGroup name="customers" caption="customers"/>
    <measureGroup name="orders" caption="orders"/>
    <measureGroup name="products" caption="products"/>
  </measureGroups>
  <maps count="5">
    <map measureGroup="0" dimension="0"/>
    <map measureGroup="1" dimension="0"/>
    <map measureGroup="1" dimension="2"/>
    <map measureGroup="1" dimension="3"/>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ahesh Mahajan" refreshedDate="46072.022823611114" createdVersion="5" refreshedVersion="8" minRefreshableVersion="3" recordCount="0" supportSubquery="1" supportAdvancedDrill="1" xr:uid="{867A4372-03A9-4CC5-A25C-E8EB80A48127}">
  <cacheSource type="external" connectionId="4"/>
  <cacheFields count="5">
    <cacheField name="[Measures].[Total Revenue]" caption="Total Revenue" numFmtId="0" hierarchy="27" level="32767"/>
    <cacheField name="[products].[Category].[Category]" caption="Category" numFmtId="0" hierarchy="22" level="1">
      <sharedItems count="7">
        <s v="Cake"/>
        <s v="Colors"/>
        <s v="Mugs"/>
        <s v="Plants"/>
        <s v="Raksha Bandhan"/>
        <s v="Soft Toys"/>
        <s v="Sweets"/>
      </sharedItems>
    </cacheField>
    <cacheField name="[products].[Product_Name].[Product_Name]" caption="Product_Name" numFmtId="0" hierarchy="21" level="1">
      <sharedItems count="5">
        <s v="Deserunt Box"/>
        <s v="Dolores Gift"/>
        <s v="Harum Pack"/>
        <s v="Magnam Set"/>
        <s v="Quia Gift"/>
      </sharedItems>
    </cacheField>
    <cacheField name="[products].[Occasion].[Occasion]" caption="Occasion" numFmtId="0" hierarchy="24" level="1">
      <sharedItems containsSemiMixedTypes="0" containsNonDate="0" containsString="0"/>
    </cacheField>
    <cacheField name="[orders].[Order_Date (Month)].[Order_Date (Month)]" caption="Order_Date (Month)" numFmtId="0" hierarchy="16" level="1">
      <sharedItems containsSemiMixedTypes="0" containsNonDate="0" containsString="0"/>
    </cacheField>
  </cacheFields>
  <cacheHierarchies count="42">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orders].[Order_ID]" caption="Order_ID" attribute="1" defaultMemberUniqueName="[orders].[Order_ID].[All]" allUniqueName="[orders].[Order_ID].[All]" dimensionUniqueName="[orders]" displayFolder="" count="0" memberValueDatatype="13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defaultMemberUniqueName="[orders].[Order_Time].[All]" allUniqueName="[orders].[Order_Time].[All]" dimensionUniqueName="[orders]" displayFolder="" count="0" memberValueDatatype="20"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Delivery Time]" caption="Delivery Time" attribute="1" defaultMemberUniqueName="[orders].[Delivery Time].[All]" allUniqueName="[orders].[Delivery Time].[All]" dimensionUniqueName="[orders]" displayFolder="" count="0" memberValueDatatype="5" unbalanced="0"/>
    <cacheHierarchy uniqueName="[orders].[Revenue]" caption="Revenue" attribute="1" defaultMemberUniqueName="[orders].[Revenue].[All]" allUniqueName="[orders].[Revenue].[All]" dimensionUniqueName="[orders]" displayFolder="" count="0" memberValueDatatype="20" unbalanced="0"/>
    <cacheHierarchy uniqueName="[orders].[Order_Date (Month)]" caption="Order_Date (Month)" attribute="1" defaultMemberUniqueName="[orders].[Order_Date (Month)].[All]" allUniqueName="[orders].[Order_Date (Month)].[All]" dimensionUniqueName="[orders]" displayFolder="" count="2" memberValueDatatype="130" unbalanced="0">
      <fieldsUsage count="2">
        <fieldUsage x="-1"/>
        <fieldUsage x="4"/>
      </fieldsUsage>
    </cacheHierarchy>
    <cacheHierarchy uniqueName="[orders].[Order_Time (Hour)]" caption="Order_Time (Hour)" attribute="1" defaultMemberUniqueName="[orders].[Order_Time (Hour)].[All]" allUniqueName="[orders].[Order_Time (Hour)].[All]" dimensionUniqueName="[orders]" displayFolder="" count="0" memberValueDatatype="130" unbalanced="0"/>
    <cacheHierarchy uniqueName="[orders].[Order_Time (Minute)]" caption="Order_Time (Minute)" attribute="1" defaultMemberUniqueName="[orders].[Order_Time (Minute)].[All]" allUniqueName="[orders].[Order_Time (Minute)].[All]" dimensionUniqueName="[orders]" displayFolder="" count="0" memberValueDatatype="130" unbalanced="0"/>
    <cacheHierarchy uniqueName="[orders].[Order_Time (Second)]" caption="Order_Time (Second)" attribute="1" defaultMemberUniqueName="[orders].[Order_Time (Second)].[All]" allUniqueName="[orders].[Order_Time (Second)].[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fieldsUsage count="2">
        <fieldUsage x="-1"/>
        <fieldUsage x="2"/>
      </fieldsUsage>
    </cacheHierarchy>
    <cacheHierarchy uniqueName="[products].[Category]" caption="Category" attribute="1" defaultMemberUniqueName="[products].[Category].[All]" allUniqueName="[products].[Category].[All]" dimensionUniqueName="[products]" displayFolder="" count="2" memberValueDatatype="130" unbalanced="0">
      <fieldsUsage count="2">
        <fieldUsage x="-1"/>
        <fieldUsage x="1"/>
      </fieldsUsage>
    </cacheHierarchy>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2" memberValueDatatype="130" unbalanced="0">
      <fieldsUsage count="2">
        <fieldUsage x="-1"/>
        <fieldUsage x="3"/>
      </fieldsUsage>
    </cacheHierarchy>
    <cacheHierarchy uniqueName="[orders].[Order_Date (Month Index)]" caption="Order_Date (Month Index)" attribute="1" defaultMemberUniqueName="[orders].[Order_Date (Month Index)].[All]" allUniqueName="[orders].[Order_Date (Month Index)].[All]" dimensionUniqueName="[orders]" displayFolder="" count="0" memberValueDatatype="20" unbalanced="0" hidden="1"/>
    <cacheHierarchy uniqueName="[Measures].[Total Orders]" caption="Total Orders" measure="1" displayFolder="" measureGroup="orders" count="0"/>
    <cacheHierarchy uniqueName="[Measures].[Total Revenue]" caption="Total Revenue" measure="1" displayFolder="" measureGroup="orders" count="0" oneField="1">
      <fieldsUsage count="1">
        <fieldUsage x="0"/>
      </fieldsUsage>
    </cacheHierarchy>
    <cacheHierarchy uniqueName="[Measures].[Avg Order Value]" caption="Avg Order Value" measure="1" displayFolder="" measureGroup="orders" count="0"/>
    <cacheHierarchy uniqueName="[Measures].[__XL_Count products]" caption="__XL_Count products" measure="1" displayFolder="" measureGroup="products" count="0" hidden="1"/>
    <cacheHierarchy uniqueName="[Measures].[__XL_Count orders]" caption="__XL_Count orders" measure="1" displayFolder="" measureGroup="order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y uniqueName="[Measures].[Count of Order_ID]" caption="Count of Order_ID" measure="1" displayFolder="" measureGroup="orders" count="0" hidden="1">
      <extLst>
        <ext xmlns:x15="http://schemas.microsoft.com/office/spreadsheetml/2010/11/main" uri="{B97F6D7D-B522-45F9-BDA1-12C45D357490}">
          <x15:cacheHierarchy aggregatedColumn="4"/>
        </ext>
      </extLst>
    </cacheHierarchy>
    <cacheHierarchy uniqueName="[Measures].[Sum of Price (INR)]" caption="Sum of Price (INR)" measure="1" displayFolder="" measureGroup="products" count="0" hidden="1">
      <extLst>
        <ext xmlns:x15="http://schemas.microsoft.com/office/spreadsheetml/2010/11/main" uri="{B97F6D7D-B522-45F9-BDA1-12C45D357490}">
          <x15:cacheHierarchy aggregatedColumn="23"/>
        </ext>
      </extLst>
    </cacheHierarchy>
    <cacheHierarchy uniqueName="[Measures].[Sum of Product_ID]" caption="Sum of Product_ID" measure="1" displayFolder="" measureGroup="orders" count="0" hidden="1">
      <extLst>
        <ext xmlns:x15="http://schemas.microsoft.com/office/spreadsheetml/2010/11/main" uri="{B97F6D7D-B522-45F9-BDA1-12C45D357490}">
          <x15:cacheHierarchy aggregatedColumn="6"/>
        </ext>
      </extLst>
    </cacheHierarchy>
    <cacheHierarchy uniqueName="[Measures].[Count of Product_ID]" caption="Count of Product_ID" measure="1" displayFolder="" measureGroup="orders" count="0" hidden="1">
      <extLst>
        <ext xmlns:x15="http://schemas.microsoft.com/office/spreadsheetml/2010/11/main" uri="{B97F6D7D-B522-45F9-BDA1-12C45D357490}">
          <x15:cacheHierarchy aggregatedColumn="6"/>
        </ext>
      </extLst>
    </cacheHierarchy>
    <cacheHierarchy uniqueName="[Measures].[Count of Delivery Time]" caption="Count of Delivery Time" measure="1" displayFolder="" measureGroup="orders" count="0" hidden="1">
      <extLst>
        <ext xmlns:x15="http://schemas.microsoft.com/office/spreadsheetml/2010/11/main" uri="{B97F6D7D-B522-45F9-BDA1-12C45D357490}">
          <x15:cacheHierarchy aggregatedColumn="14"/>
        </ext>
      </extLst>
    </cacheHierarchy>
    <cacheHierarchy uniqueName="[Measures].[Sum of Delivery Time]" caption="Sum of Delivery Time" measure="1" displayFolder="" measureGroup="orders" count="0" hidden="1">
      <extLst>
        <ext xmlns:x15="http://schemas.microsoft.com/office/spreadsheetml/2010/11/main" uri="{B97F6D7D-B522-45F9-BDA1-12C45D357490}">
          <x15:cacheHierarchy aggregatedColumn="14"/>
        </ext>
      </extLst>
    </cacheHierarchy>
    <cacheHierarchy uniqueName="[Measures].[Average of Delivery Time]" caption="Average of Delivery Time" measure="1" displayFolder="" measureGroup="orders" count="0" hidden="1">
      <extLst>
        <ext xmlns:x15="http://schemas.microsoft.com/office/spreadsheetml/2010/11/main" uri="{B97F6D7D-B522-45F9-BDA1-12C45D357490}">
          <x15:cacheHierarchy aggregatedColumn="14"/>
        </ext>
      </extLst>
    </cacheHierarchy>
    <cacheHierarchy uniqueName="[Measures].[Sum of Revenue]" caption="Sum of Revenue" measure="1" displayFolder="" measureGroup="orders" count="0" hidden="1">
      <extLst>
        <ext xmlns:x15="http://schemas.microsoft.com/office/spreadsheetml/2010/11/main" uri="{B97F6D7D-B522-45F9-BDA1-12C45D357490}">
          <x15:cacheHierarchy aggregatedColumn="15"/>
        </ext>
      </extLst>
    </cacheHierarchy>
    <cacheHierarchy uniqueName="[Measures].[Count of Order_Time (Hour)]" caption="Count of Order_Time (Hour)" measure="1" displayFolder="" measureGroup="orders" count="0" hidden="1">
      <extLst>
        <ext xmlns:x15="http://schemas.microsoft.com/office/spreadsheetml/2010/11/main" uri="{B97F6D7D-B522-45F9-BDA1-12C45D357490}">
          <x15:cacheHierarchy aggregatedColumn="17"/>
        </ext>
      </extLst>
    </cacheHierarchy>
  </cacheHierarchies>
  <kpis count="0"/>
  <dimensions count="4">
    <dimension name="customers" uniqueName="[customers]" caption="customers"/>
    <dimension measure="1" name="Measures" uniqueName="[Measures]" caption="Measures"/>
    <dimension name="orders" uniqueName="[orders]" caption="orders"/>
    <dimension name="products" uniqueName="[products]" caption="products"/>
  </dimensions>
  <measureGroups count="3">
    <measureGroup name="customers" caption="customers"/>
    <measureGroup name="orders" caption="orders"/>
    <measureGroup name="products" caption="products"/>
  </measureGroups>
  <maps count="5">
    <map measureGroup="0" dimension="0"/>
    <map measureGroup="1" dimension="0"/>
    <map measureGroup="1" dimension="2"/>
    <map measureGroup="1" dimension="3"/>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ahesh Mahajan" refreshedDate="46072.02282766204" createdVersion="5" refreshedVersion="8" minRefreshableVersion="3" recordCount="0" supportSubquery="1" supportAdvancedDrill="1" xr:uid="{4E8B1D94-3336-41B7-874E-C93DE34AE080}">
  <cacheSource type="external" connectionId="4"/>
  <cacheFields count="6">
    <cacheField name="[customers].[City].[City]" caption="City" numFmtId="0" hierarchy="2" level="1">
      <sharedItems count="10">
        <s v="Bhatpara"/>
        <s v="Bidhannagar"/>
        <s v="Bilaspur"/>
        <s v="Dhanbad"/>
        <s v="Dibrugarh"/>
        <s v="Guntakal"/>
        <s v="Haridwar"/>
        <s v="Imphal"/>
        <s v="Kavali"/>
        <s v="North Dumdum"/>
      </sharedItems>
    </cacheField>
    <cacheField name="[Measures].[Total Revenue]" caption="Total Revenue" numFmtId="0" hierarchy="27" level="32767"/>
    <cacheField name="[orders].[Order_Time (Hour)].[Order_Time (Hour)]" caption="Order_Time (Hour)" numFmtId="0" hierarchy="17" level="1">
      <sharedItems count="1">
        <s v="0"/>
      </sharedItems>
    </cacheField>
    <cacheField name="[orders].[Order_Time].[Order_Time]" caption="Order_Time" numFmtId="0" hierarchy="9" level="1">
      <sharedItems containsSemiMixedTypes="0" containsString="0" containsNumber="1" containsInteger="1" minValue="0" maxValue="23" count="24">
        <n v="0"/>
        <n v="1"/>
        <n v="2"/>
        <n v="3"/>
        <n v="4"/>
        <n v="5"/>
        <n v="6"/>
        <n v="7"/>
        <n v="8"/>
        <n v="9"/>
        <n v="10"/>
        <n v="11"/>
        <n v="12"/>
        <n v="13"/>
        <n v="14"/>
        <n v="15"/>
        <n v="16"/>
        <n v="17"/>
        <n v="18"/>
        <n v="19"/>
        <n v="20"/>
        <n v="21"/>
        <n v="22"/>
        <n v="23"/>
      </sharedItems>
      <extLst>
        <ext xmlns:x15="http://schemas.microsoft.com/office/spreadsheetml/2010/11/main" uri="{4F2E5C28-24EA-4eb8-9CBF-B6C8F9C3D259}">
          <x15:cachedUniqueNames>
            <x15:cachedUniqueName index="0" name="[orders].[Order_Time].&amp;[0]"/>
            <x15:cachedUniqueName index="1" name="[orders].[Order_Time].&amp;[1]"/>
            <x15:cachedUniqueName index="2" name="[orders].[Order_Time].&amp;[2]"/>
            <x15:cachedUniqueName index="3" name="[orders].[Order_Time].&amp;[3]"/>
            <x15:cachedUniqueName index="4" name="[orders].[Order_Time].&amp;[4]"/>
            <x15:cachedUniqueName index="5" name="[orders].[Order_Time].&amp;[5]"/>
            <x15:cachedUniqueName index="6" name="[orders].[Order_Time].&amp;[6]"/>
            <x15:cachedUniqueName index="7" name="[orders].[Order_Time].&amp;[7]"/>
            <x15:cachedUniqueName index="8" name="[orders].[Order_Time].&amp;[8]"/>
            <x15:cachedUniqueName index="9" name="[orders].[Order_Time].&amp;[9]"/>
            <x15:cachedUniqueName index="10" name="[orders].[Order_Time].&amp;[10]"/>
            <x15:cachedUniqueName index="11" name="[orders].[Order_Time].&amp;[11]"/>
            <x15:cachedUniqueName index="12" name="[orders].[Order_Time].&amp;[12]"/>
            <x15:cachedUniqueName index="13" name="[orders].[Order_Time].&amp;[13]"/>
            <x15:cachedUniqueName index="14" name="[orders].[Order_Time].&amp;[14]"/>
            <x15:cachedUniqueName index="15" name="[orders].[Order_Time].&amp;[15]"/>
            <x15:cachedUniqueName index="16" name="[orders].[Order_Time].&amp;[16]"/>
            <x15:cachedUniqueName index="17" name="[orders].[Order_Time].&amp;[17]"/>
            <x15:cachedUniqueName index="18" name="[orders].[Order_Time].&amp;[18]"/>
            <x15:cachedUniqueName index="19" name="[orders].[Order_Time].&amp;[19]"/>
            <x15:cachedUniqueName index="20" name="[orders].[Order_Time].&amp;[20]"/>
            <x15:cachedUniqueName index="21" name="[orders].[Order_Time].&amp;[21]"/>
            <x15:cachedUniqueName index="22" name="[orders].[Order_Time].&amp;[22]"/>
            <x15:cachedUniqueName index="23" name="[orders].[Order_Time].&amp;[23]"/>
          </x15:cachedUniqueNames>
        </ext>
      </extLst>
    </cacheField>
    <cacheField name="[products].[Occasion].[Occasion]" caption="Occasion" numFmtId="0" hierarchy="24" level="1">
      <sharedItems containsSemiMixedTypes="0" containsNonDate="0" containsString="0"/>
    </cacheField>
    <cacheField name="[orders].[Order_Date (Month)].[Order_Date (Month)]" caption="Order_Date (Month)" numFmtId="0" hierarchy="16" level="1">
      <sharedItems containsSemiMixedTypes="0" containsNonDate="0" containsString="0"/>
    </cacheField>
  </cacheFields>
  <cacheHierarchies count="42">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2" memberValueDatatype="130" unbalanced="0">
      <fieldsUsage count="2">
        <fieldUsage x="-1"/>
        <fieldUsage x="0"/>
      </fieldsUsage>
    </cacheHierarchy>
    <cacheHierarchy uniqueName="[customers].[Gender]" caption="Gender" attribute="1" defaultMemberUniqueName="[customers].[Gender].[All]" allUniqueName="[customers].[Gender].[All]" dimensionUniqueName="[customers]" displayFolder="" count="0" memberValueDatatype="130" unbalanced="0"/>
    <cacheHierarchy uniqueName="[orders].[Order_ID]" caption="Order_ID" attribute="1" defaultMemberUniqueName="[orders].[Order_ID].[All]" allUniqueName="[orders].[Order_ID].[All]" dimensionUniqueName="[orders]" displayFolder="" count="0" memberValueDatatype="13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defaultMemberUniqueName="[orders].[Order_Time].[All]" allUniqueName="[orders].[Order_Time].[All]" dimensionUniqueName="[orders]" displayFolder="" count="2" memberValueDatatype="20" unbalanced="0">
      <fieldsUsage count="2">
        <fieldUsage x="-1"/>
        <fieldUsage x="3"/>
      </fieldsUsage>
    </cacheHierarchy>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Delivery Time]" caption="Delivery Time" attribute="1" defaultMemberUniqueName="[orders].[Delivery Time].[All]" allUniqueName="[orders].[Delivery Time].[All]" dimensionUniqueName="[orders]" displayFolder="" count="0" memberValueDatatype="5" unbalanced="0"/>
    <cacheHierarchy uniqueName="[orders].[Revenue]" caption="Revenue" attribute="1" defaultMemberUniqueName="[orders].[Revenue].[All]" allUniqueName="[orders].[Revenue].[All]" dimensionUniqueName="[orders]" displayFolder="" count="0" memberValueDatatype="20" unbalanced="0"/>
    <cacheHierarchy uniqueName="[orders].[Order_Date (Month)]" caption="Order_Date (Month)" attribute="1" defaultMemberUniqueName="[orders].[Order_Date (Month)].[All]" allUniqueName="[orders].[Order_Date (Month)].[All]" dimensionUniqueName="[orders]" displayFolder="" count="2" memberValueDatatype="130" unbalanced="0">
      <fieldsUsage count="2">
        <fieldUsage x="-1"/>
        <fieldUsage x="5"/>
      </fieldsUsage>
    </cacheHierarchy>
    <cacheHierarchy uniqueName="[orders].[Order_Time (Hour)]" caption="Order_Time (Hour)" attribute="1" defaultMemberUniqueName="[orders].[Order_Time (Hour)].[All]" allUniqueName="[orders].[Order_Time (Hour)].[All]" dimensionUniqueName="[orders]" displayFolder="" count="2" memberValueDatatype="130" unbalanced="0">
      <fieldsUsage count="2">
        <fieldUsage x="-1"/>
        <fieldUsage x="2"/>
      </fieldsUsage>
    </cacheHierarchy>
    <cacheHierarchy uniqueName="[orders].[Order_Time (Minute)]" caption="Order_Time (Minute)" attribute="1" defaultMemberUniqueName="[orders].[Order_Time (Minute)].[All]" allUniqueName="[orders].[Order_Time (Minute)].[All]" dimensionUniqueName="[orders]" displayFolder="" count="0" memberValueDatatype="130" unbalanced="0"/>
    <cacheHierarchy uniqueName="[orders].[Order_Time (Second)]" caption="Order_Time (Second)" attribute="1" defaultMemberUniqueName="[orders].[Order_Time (Second)].[All]" allUniqueName="[orders].[Order_Time (Second)].[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2" memberValueDatatype="130" unbalanced="0">
      <fieldsUsage count="2">
        <fieldUsage x="-1"/>
        <fieldUsage x="4"/>
      </fieldsUsage>
    </cacheHierarchy>
    <cacheHierarchy uniqueName="[orders].[Order_Date (Month Index)]" caption="Order_Date (Month Index)" attribute="1" defaultMemberUniqueName="[orders].[Order_Date (Month Index)].[All]" allUniqueName="[orders].[Order_Date (Month Index)].[All]" dimensionUniqueName="[orders]" displayFolder="" count="0" memberValueDatatype="20" unbalanced="0" hidden="1"/>
    <cacheHierarchy uniqueName="[Measures].[Total Orders]" caption="Total Orders" measure="1" displayFolder="" measureGroup="orders" count="0"/>
    <cacheHierarchy uniqueName="[Measures].[Total Revenue]" caption="Total Revenue" measure="1" displayFolder="" measureGroup="orders" count="0" oneField="1">
      <fieldsUsage count="1">
        <fieldUsage x="1"/>
      </fieldsUsage>
    </cacheHierarchy>
    <cacheHierarchy uniqueName="[Measures].[Avg Order Value]" caption="Avg Order Value" measure="1" displayFolder="" measureGroup="orders" count="0"/>
    <cacheHierarchy uniqueName="[Measures].[__XL_Count products]" caption="__XL_Count products" measure="1" displayFolder="" measureGroup="products" count="0" hidden="1"/>
    <cacheHierarchy uniqueName="[Measures].[__XL_Count orders]" caption="__XL_Count orders" measure="1" displayFolder="" measureGroup="order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y uniqueName="[Measures].[Count of Order_ID]" caption="Count of Order_ID" measure="1" displayFolder="" measureGroup="orders" count="0" hidden="1">
      <extLst>
        <ext xmlns:x15="http://schemas.microsoft.com/office/spreadsheetml/2010/11/main" uri="{B97F6D7D-B522-45F9-BDA1-12C45D357490}">
          <x15:cacheHierarchy aggregatedColumn="4"/>
        </ext>
      </extLst>
    </cacheHierarchy>
    <cacheHierarchy uniqueName="[Measures].[Sum of Price (INR)]" caption="Sum of Price (INR)" measure="1" displayFolder="" measureGroup="products" count="0" hidden="1">
      <extLst>
        <ext xmlns:x15="http://schemas.microsoft.com/office/spreadsheetml/2010/11/main" uri="{B97F6D7D-B522-45F9-BDA1-12C45D357490}">
          <x15:cacheHierarchy aggregatedColumn="23"/>
        </ext>
      </extLst>
    </cacheHierarchy>
    <cacheHierarchy uniqueName="[Measures].[Sum of Product_ID]" caption="Sum of Product_ID" measure="1" displayFolder="" measureGroup="orders" count="0" hidden="1">
      <extLst>
        <ext xmlns:x15="http://schemas.microsoft.com/office/spreadsheetml/2010/11/main" uri="{B97F6D7D-B522-45F9-BDA1-12C45D357490}">
          <x15:cacheHierarchy aggregatedColumn="6"/>
        </ext>
      </extLst>
    </cacheHierarchy>
    <cacheHierarchy uniqueName="[Measures].[Count of Product_ID]" caption="Count of Product_ID" measure="1" displayFolder="" measureGroup="orders" count="0" hidden="1">
      <extLst>
        <ext xmlns:x15="http://schemas.microsoft.com/office/spreadsheetml/2010/11/main" uri="{B97F6D7D-B522-45F9-BDA1-12C45D357490}">
          <x15:cacheHierarchy aggregatedColumn="6"/>
        </ext>
      </extLst>
    </cacheHierarchy>
    <cacheHierarchy uniqueName="[Measures].[Count of Delivery Time]" caption="Count of Delivery Time" measure="1" displayFolder="" measureGroup="orders" count="0" hidden="1">
      <extLst>
        <ext xmlns:x15="http://schemas.microsoft.com/office/spreadsheetml/2010/11/main" uri="{B97F6D7D-B522-45F9-BDA1-12C45D357490}">
          <x15:cacheHierarchy aggregatedColumn="14"/>
        </ext>
      </extLst>
    </cacheHierarchy>
    <cacheHierarchy uniqueName="[Measures].[Sum of Delivery Time]" caption="Sum of Delivery Time" measure="1" displayFolder="" measureGroup="orders" count="0" hidden="1">
      <extLst>
        <ext xmlns:x15="http://schemas.microsoft.com/office/spreadsheetml/2010/11/main" uri="{B97F6D7D-B522-45F9-BDA1-12C45D357490}">
          <x15:cacheHierarchy aggregatedColumn="14"/>
        </ext>
      </extLst>
    </cacheHierarchy>
    <cacheHierarchy uniqueName="[Measures].[Average of Delivery Time]" caption="Average of Delivery Time" measure="1" displayFolder="" measureGroup="orders" count="0" hidden="1">
      <extLst>
        <ext xmlns:x15="http://schemas.microsoft.com/office/spreadsheetml/2010/11/main" uri="{B97F6D7D-B522-45F9-BDA1-12C45D357490}">
          <x15:cacheHierarchy aggregatedColumn="14"/>
        </ext>
      </extLst>
    </cacheHierarchy>
    <cacheHierarchy uniqueName="[Measures].[Sum of Revenue]" caption="Sum of Revenue" measure="1" displayFolder="" measureGroup="orders" count="0" hidden="1">
      <extLst>
        <ext xmlns:x15="http://schemas.microsoft.com/office/spreadsheetml/2010/11/main" uri="{B97F6D7D-B522-45F9-BDA1-12C45D357490}">
          <x15:cacheHierarchy aggregatedColumn="15"/>
        </ext>
      </extLst>
    </cacheHierarchy>
    <cacheHierarchy uniqueName="[Measures].[Count of Order_Time (Hour)]" caption="Count of Order_Time (Hour)" measure="1" displayFolder="" measureGroup="orders" count="0" hidden="1">
      <extLst>
        <ext xmlns:x15="http://schemas.microsoft.com/office/spreadsheetml/2010/11/main" uri="{B97F6D7D-B522-45F9-BDA1-12C45D357490}">
          <x15:cacheHierarchy aggregatedColumn="17"/>
        </ext>
      </extLst>
    </cacheHierarchy>
  </cacheHierarchies>
  <kpis count="0"/>
  <dimensions count="4">
    <dimension name="customers" uniqueName="[customers]" caption="customers"/>
    <dimension measure="1" name="Measures" uniqueName="[Measures]" caption="Measures"/>
    <dimension name="orders" uniqueName="[orders]" caption="orders"/>
    <dimension name="products" uniqueName="[products]" caption="products"/>
  </dimensions>
  <measureGroups count="3">
    <measureGroup name="customers" caption="customers"/>
    <measureGroup name="orders" caption="orders"/>
    <measureGroup name="products" caption="products"/>
  </measureGroups>
  <maps count="5">
    <map measureGroup="0" dimension="0"/>
    <map measureGroup="1" dimension="0"/>
    <map measureGroup="1" dimension="2"/>
    <map measureGroup="1" dimension="3"/>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ahesh Mahajan" refreshedDate="46072.022831712966" createdVersion="5" refreshedVersion="8" minRefreshableVersion="3" recordCount="0" supportSubquery="1" supportAdvancedDrill="1" xr:uid="{90AA5EE1-7F8B-4B60-81A0-B10B6B41A412}">
  <cacheSource type="external" connectionId="4"/>
  <cacheFields count="3">
    <cacheField name="[products].[Occasion].[Occasion]" caption="Occasion" numFmtId="0" hierarchy="24" level="1">
      <sharedItems count="7">
        <s v="All Occasions"/>
        <s v="Anniversary"/>
        <s v="Birthday"/>
        <s v="Diwali"/>
        <s v="Holi"/>
        <s v="Raksha Bandhan"/>
        <s v="Valentine's Day"/>
      </sharedItems>
    </cacheField>
    <cacheField name="[Measures].[Sum of Revenue]" caption="Sum of Revenue" numFmtId="0" hierarchy="40" level="32767"/>
    <cacheField name="[orders].[Order_Date (Month)].[Order_Date (Month)]" caption="Order_Date (Month)" numFmtId="0" hierarchy="16" level="1">
      <sharedItems containsSemiMixedTypes="0" containsNonDate="0" containsString="0"/>
    </cacheField>
  </cacheFields>
  <cacheHierarchies count="42">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orders].[Order_ID]" caption="Order_ID" attribute="1" defaultMemberUniqueName="[orders].[Order_ID].[All]" allUniqueName="[orders].[Order_ID].[All]" dimensionUniqueName="[orders]" displayFolder="" count="0" memberValueDatatype="13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defaultMemberUniqueName="[orders].[Order_Time].[All]" allUniqueName="[orders].[Order_Time].[All]" dimensionUniqueName="[orders]" displayFolder="" count="0" memberValueDatatype="20"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Delivery Time]" caption="Delivery Time" attribute="1" defaultMemberUniqueName="[orders].[Delivery Time].[All]" allUniqueName="[orders].[Delivery Time].[All]" dimensionUniqueName="[orders]" displayFolder="" count="0" memberValueDatatype="5" unbalanced="0"/>
    <cacheHierarchy uniqueName="[orders].[Revenue]" caption="Revenue" attribute="1" defaultMemberUniqueName="[orders].[Revenue].[All]" allUniqueName="[orders].[Revenue].[All]" dimensionUniqueName="[orders]" displayFolder="" count="0" memberValueDatatype="20" unbalanced="0"/>
    <cacheHierarchy uniqueName="[orders].[Order_Date (Month)]" caption="Order_Date (Month)" attribute="1" defaultMemberUniqueName="[orders].[Order_Date (Month)].[All]" allUniqueName="[orders].[Order_Date (Month)].[All]" dimensionUniqueName="[orders]" displayFolder="" count="2" memberValueDatatype="130" unbalanced="0">
      <fieldsUsage count="2">
        <fieldUsage x="-1"/>
        <fieldUsage x="2"/>
      </fieldsUsage>
    </cacheHierarchy>
    <cacheHierarchy uniqueName="[orders].[Order_Time (Hour)]" caption="Order_Time (Hour)" attribute="1" defaultMemberUniqueName="[orders].[Order_Time (Hour)].[All]" allUniqueName="[orders].[Order_Time (Hour)].[All]" dimensionUniqueName="[orders]" displayFolder="" count="0" memberValueDatatype="130" unbalanced="0"/>
    <cacheHierarchy uniqueName="[orders].[Order_Time (Minute)]" caption="Order_Time (Minute)" attribute="1" defaultMemberUniqueName="[orders].[Order_Time (Minute)].[All]" allUniqueName="[orders].[Order_Time (Minute)].[All]" dimensionUniqueName="[orders]" displayFolder="" count="0" memberValueDatatype="130" unbalanced="0"/>
    <cacheHierarchy uniqueName="[orders].[Order_Time (Second)]" caption="Order_Time (Second)" attribute="1" defaultMemberUniqueName="[orders].[Order_Time (Second)].[All]" allUniqueName="[orders].[Order_Time (Second)].[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2" memberValueDatatype="130" unbalanced="0">
      <fieldsUsage count="2">
        <fieldUsage x="-1"/>
        <fieldUsage x="0"/>
      </fieldsUsage>
    </cacheHierarchy>
    <cacheHierarchy uniqueName="[orders].[Order_Date (Month Index)]" caption="Order_Date (Month Index)" attribute="1" defaultMemberUniqueName="[orders].[Order_Date (Month Index)].[All]" allUniqueName="[orders].[Order_Date (Month Index)].[All]" dimensionUniqueName="[orders]" displayFolder="" count="0" memberValueDatatype="20" unbalanced="0" hidden="1"/>
    <cacheHierarchy uniqueName="[Measures].[Total Orders]" caption="Total Orders" measure="1" displayFolder="" measureGroup="orders" count="0"/>
    <cacheHierarchy uniqueName="[Measures].[Total Revenue]" caption="Total Revenue" measure="1" displayFolder="" measureGroup="orders" count="0"/>
    <cacheHierarchy uniqueName="[Measures].[Avg Order Value]" caption="Avg Order Value" measure="1" displayFolder="" measureGroup="orders" count="0"/>
    <cacheHierarchy uniqueName="[Measures].[__XL_Count products]" caption="__XL_Count products" measure="1" displayFolder="" measureGroup="products" count="0" hidden="1"/>
    <cacheHierarchy uniqueName="[Measures].[__XL_Count orders]" caption="__XL_Count orders" measure="1" displayFolder="" measureGroup="order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y uniqueName="[Measures].[Count of Order_ID]" caption="Count of Order_ID" measure="1" displayFolder="" measureGroup="orders" count="0" hidden="1">
      <extLst>
        <ext xmlns:x15="http://schemas.microsoft.com/office/spreadsheetml/2010/11/main" uri="{B97F6D7D-B522-45F9-BDA1-12C45D357490}">
          <x15:cacheHierarchy aggregatedColumn="4"/>
        </ext>
      </extLst>
    </cacheHierarchy>
    <cacheHierarchy uniqueName="[Measures].[Sum of Price (INR)]" caption="Sum of Price (INR)" measure="1" displayFolder="" measureGroup="products" count="0" hidden="1">
      <extLst>
        <ext xmlns:x15="http://schemas.microsoft.com/office/spreadsheetml/2010/11/main" uri="{B97F6D7D-B522-45F9-BDA1-12C45D357490}">
          <x15:cacheHierarchy aggregatedColumn="23"/>
        </ext>
      </extLst>
    </cacheHierarchy>
    <cacheHierarchy uniqueName="[Measures].[Sum of Product_ID]" caption="Sum of Product_ID" measure="1" displayFolder="" measureGroup="orders" count="0" hidden="1">
      <extLst>
        <ext xmlns:x15="http://schemas.microsoft.com/office/spreadsheetml/2010/11/main" uri="{B97F6D7D-B522-45F9-BDA1-12C45D357490}">
          <x15:cacheHierarchy aggregatedColumn="6"/>
        </ext>
      </extLst>
    </cacheHierarchy>
    <cacheHierarchy uniqueName="[Measures].[Count of Product_ID]" caption="Count of Product_ID" measure="1" displayFolder="" measureGroup="orders" count="0" hidden="1">
      <extLst>
        <ext xmlns:x15="http://schemas.microsoft.com/office/spreadsheetml/2010/11/main" uri="{B97F6D7D-B522-45F9-BDA1-12C45D357490}">
          <x15:cacheHierarchy aggregatedColumn="6"/>
        </ext>
      </extLst>
    </cacheHierarchy>
    <cacheHierarchy uniqueName="[Measures].[Count of Delivery Time]" caption="Count of Delivery Time" measure="1" displayFolder="" measureGroup="orders" count="0" hidden="1">
      <extLst>
        <ext xmlns:x15="http://schemas.microsoft.com/office/spreadsheetml/2010/11/main" uri="{B97F6D7D-B522-45F9-BDA1-12C45D357490}">
          <x15:cacheHierarchy aggregatedColumn="14"/>
        </ext>
      </extLst>
    </cacheHierarchy>
    <cacheHierarchy uniqueName="[Measures].[Sum of Delivery Time]" caption="Sum of Delivery Time" measure="1" displayFolder="" measureGroup="orders" count="0" hidden="1">
      <extLst>
        <ext xmlns:x15="http://schemas.microsoft.com/office/spreadsheetml/2010/11/main" uri="{B97F6D7D-B522-45F9-BDA1-12C45D357490}">
          <x15:cacheHierarchy aggregatedColumn="14"/>
        </ext>
      </extLst>
    </cacheHierarchy>
    <cacheHierarchy uniqueName="[Measures].[Average of Delivery Time]" caption="Average of Delivery Time" measure="1" displayFolder="" measureGroup="orders" count="0" hidden="1">
      <extLst>
        <ext xmlns:x15="http://schemas.microsoft.com/office/spreadsheetml/2010/11/main" uri="{B97F6D7D-B522-45F9-BDA1-12C45D357490}">
          <x15:cacheHierarchy aggregatedColumn="14"/>
        </ext>
      </extLst>
    </cacheHierarchy>
    <cacheHierarchy uniqueName="[Measures].[Sum of Revenue]" caption="Sum of Revenue" measure="1" displayFolder="" measureGroup="orders" count="0" oneField="1" hidden="1">
      <fieldsUsage count="1">
        <fieldUsage x="1"/>
      </fieldsUsage>
      <extLst>
        <ext xmlns:x15="http://schemas.microsoft.com/office/spreadsheetml/2010/11/main" uri="{B97F6D7D-B522-45F9-BDA1-12C45D357490}">
          <x15:cacheHierarchy aggregatedColumn="15"/>
        </ext>
      </extLst>
    </cacheHierarchy>
    <cacheHierarchy uniqueName="[Measures].[Count of Order_Time (Hour)]" caption="Count of Order_Time (Hour)" measure="1" displayFolder="" measureGroup="orders" count="0" hidden="1">
      <extLst>
        <ext xmlns:x15="http://schemas.microsoft.com/office/spreadsheetml/2010/11/main" uri="{B97F6D7D-B522-45F9-BDA1-12C45D357490}">
          <x15:cacheHierarchy aggregatedColumn="17"/>
        </ext>
      </extLst>
    </cacheHierarchy>
  </cacheHierarchies>
  <kpis count="0"/>
  <dimensions count="4">
    <dimension name="customers" uniqueName="[customers]" caption="customers"/>
    <dimension measure="1" name="Measures" uniqueName="[Measures]" caption="Measures"/>
    <dimension name="orders" uniqueName="[orders]" caption="orders"/>
    <dimension name="products" uniqueName="[products]" caption="products"/>
  </dimensions>
  <measureGroups count="3">
    <measureGroup name="customers" caption="customers"/>
    <measureGroup name="orders" caption="orders"/>
    <measureGroup name="products" caption="products"/>
  </measureGroups>
  <maps count="5">
    <map measureGroup="0" dimension="0"/>
    <map measureGroup="1" dimension="0"/>
    <map measureGroup="1" dimension="2"/>
    <map measureGroup="1" dimension="3"/>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ahesh Mahajan" refreshedDate="46072.022805324072" createdVersion="3" refreshedVersion="8" minRefreshableVersion="3" recordCount="0" supportSubquery="1" supportAdvancedDrill="1" xr:uid="{90E7AC68-9211-45BF-8ECD-402EEFD938F4}">
  <cacheSource type="external" connectionId="4">
    <extLst>
      <ext xmlns:x14="http://schemas.microsoft.com/office/spreadsheetml/2009/9/main" uri="{F057638F-6D5F-4e77-A914-E7F072B9BCA8}">
        <x14:sourceConnection name="ThisWorkbookDataModel"/>
      </ext>
    </extLst>
  </cacheSource>
  <cacheFields count="0"/>
  <cacheHierarchies count="42">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orders].[Order_ID]" caption="Order_ID" attribute="1" defaultMemberUniqueName="[orders].[Order_ID].[All]" allUniqueName="[orders].[Order_ID].[All]" dimensionUniqueName="[orders]" displayFolder="" count="0" memberValueDatatype="13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defaultMemberUniqueName="[orders].[Order_Time].[All]" allUniqueName="[orders].[Order_Time].[All]" dimensionUniqueName="[orders]" displayFolder="" count="0" memberValueDatatype="20"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Delivery Time]" caption="Delivery Time" attribute="1" defaultMemberUniqueName="[orders].[Delivery Time].[All]" allUniqueName="[orders].[Delivery Time].[All]" dimensionUniqueName="[orders]" displayFolder="" count="0" memberValueDatatype="5" unbalanced="0"/>
    <cacheHierarchy uniqueName="[orders].[Revenue]" caption="Revenue" attribute="1" defaultMemberUniqueName="[orders].[Revenue].[All]" allUniqueName="[orders].[Revenue].[All]" dimensionUniqueName="[orders]" displayFolder="" count="0" memberValueDatatype="20" unbalanced="0"/>
    <cacheHierarchy uniqueName="[orders].[Order_Date (Month)]" caption="Order_Date (Month)" attribute="1" defaultMemberUniqueName="[orders].[Order_Date (Month)].[All]" allUniqueName="[orders].[Order_Date (Month)].[All]" dimensionUniqueName="[orders]" displayFolder="" count="2" memberValueDatatype="130" unbalanced="0"/>
    <cacheHierarchy uniqueName="[orders].[Order_Time (Hour)]" caption="Order_Time (Hour)" attribute="1" defaultMemberUniqueName="[orders].[Order_Time (Hour)].[All]" allUniqueName="[orders].[Order_Time (Hour)].[All]" dimensionUniqueName="[orders]" displayFolder="" count="0" memberValueDatatype="130" unbalanced="0"/>
    <cacheHierarchy uniqueName="[orders].[Order_Time (Minute)]" caption="Order_Time (Minute)" attribute="1" defaultMemberUniqueName="[orders].[Order_Time (Minute)].[All]" allUniqueName="[orders].[Order_Time (Minute)].[All]" dimensionUniqueName="[orders]" displayFolder="" count="0" memberValueDatatype="130" unbalanced="0"/>
    <cacheHierarchy uniqueName="[orders].[Order_Time (Second)]" caption="Order_Time (Second)" attribute="1" defaultMemberUniqueName="[orders].[Order_Time (Second)].[All]" allUniqueName="[orders].[Order_Time (Second)].[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2" memberValueDatatype="130" unbalanced="0"/>
    <cacheHierarchy uniqueName="[orders].[Order_Date (Month Index)]" caption="Order_Date (Month Index)" attribute="1" defaultMemberUniqueName="[orders].[Order_Date (Month Index)].[All]" allUniqueName="[orders].[Order_Date (Month Index)].[All]" dimensionUniqueName="[orders]" displayFolder="" count="0" memberValueDatatype="20" unbalanced="0" hidden="1"/>
    <cacheHierarchy uniqueName="[Measures].[Total Orders]" caption="Total Orders" measure="1" displayFolder="" measureGroup="orders" count="0"/>
    <cacheHierarchy uniqueName="[Measures].[Total Revenue]" caption="Total Revenue" measure="1" displayFolder="" measureGroup="orders" count="0"/>
    <cacheHierarchy uniqueName="[Measures].[Avg Order Value]" caption="Avg Order Value" measure="1" displayFolder="" measureGroup="orders" count="0"/>
    <cacheHierarchy uniqueName="[Measures].[__XL_Count products]" caption="__XL_Count products" measure="1" displayFolder="" measureGroup="products" count="0" hidden="1"/>
    <cacheHierarchy uniqueName="[Measures].[__XL_Count orders]" caption="__XL_Count orders" measure="1" displayFolder="" measureGroup="order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y uniqueName="[Measures].[Count of Order_ID]" caption="Count of Order_ID" measure="1" displayFolder="" measureGroup="orders" count="0" hidden="1">
      <extLst>
        <ext xmlns:x15="http://schemas.microsoft.com/office/spreadsheetml/2010/11/main" uri="{B97F6D7D-B522-45F9-BDA1-12C45D357490}">
          <x15:cacheHierarchy aggregatedColumn="4"/>
        </ext>
      </extLst>
    </cacheHierarchy>
    <cacheHierarchy uniqueName="[Measures].[Sum of Price (INR)]" caption="Sum of Price (INR)" measure="1" displayFolder="" measureGroup="products" count="0" hidden="1">
      <extLst>
        <ext xmlns:x15="http://schemas.microsoft.com/office/spreadsheetml/2010/11/main" uri="{B97F6D7D-B522-45F9-BDA1-12C45D357490}">
          <x15:cacheHierarchy aggregatedColumn="23"/>
        </ext>
      </extLst>
    </cacheHierarchy>
    <cacheHierarchy uniqueName="[Measures].[Sum of Product_ID]" caption="Sum of Product_ID" measure="1" displayFolder="" measureGroup="orders" count="0" hidden="1">
      <extLst>
        <ext xmlns:x15="http://schemas.microsoft.com/office/spreadsheetml/2010/11/main" uri="{B97F6D7D-B522-45F9-BDA1-12C45D357490}">
          <x15:cacheHierarchy aggregatedColumn="6"/>
        </ext>
      </extLst>
    </cacheHierarchy>
    <cacheHierarchy uniqueName="[Measures].[Count of Product_ID]" caption="Count of Product_ID" measure="1" displayFolder="" measureGroup="orders" count="0" hidden="1">
      <extLst>
        <ext xmlns:x15="http://schemas.microsoft.com/office/spreadsheetml/2010/11/main" uri="{B97F6D7D-B522-45F9-BDA1-12C45D357490}">
          <x15:cacheHierarchy aggregatedColumn="6"/>
        </ext>
      </extLst>
    </cacheHierarchy>
    <cacheHierarchy uniqueName="[Measures].[Count of Delivery Time]" caption="Count of Delivery Time" measure="1" displayFolder="" measureGroup="orders" count="0" hidden="1">
      <extLst>
        <ext xmlns:x15="http://schemas.microsoft.com/office/spreadsheetml/2010/11/main" uri="{B97F6D7D-B522-45F9-BDA1-12C45D357490}">
          <x15:cacheHierarchy aggregatedColumn="14"/>
        </ext>
      </extLst>
    </cacheHierarchy>
    <cacheHierarchy uniqueName="[Measures].[Sum of Delivery Time]" caption="Sum of Delivery Time" measure="1" displayFolder="" measureGroup="orders" count="0" hidden="1">
      <extLst>
        <ext xmlns:x15="http://schemas.microsoft.com/office/spreadsheetml/2010/11/main" uri="{B97F6D7D-B522-45F9-BDA1-12C45D357490}">
          <x15:cacheHierarchy aggregatedColumn="14"/>
        </ext>
      </extLst>
    </cacheHierarchy>
    <cacheHierarchy uniqueName="[Measures].[Average of Delivery Time]" caption="Average of Delivery Time" measure="1" displayFolder="" measureGroup="orders" count="0" hidden="1">
      <extLst>
        <ext xmlns:x15="http://schemas.microsoft.com/office/spreadsheetml/2010/11/main" uri="{B97F6D7D-B522-45F9-BDA1-12C45D357490}">
          <x15:cacheHierarchy aggregatedColumn="14"/>
        </ext>
      </extLst>
    </cacheHierarchy>
    <cacheHierarchy uniqueName="[Measures].[Sum of Revenue]" caption="Sum of Revenue" measure="1" displayFolder="" measureGroup="orders" count="0" hidden="1">
      <extLst>
        <ext xmlns:x15="http://schemas.microsoft.com/office/spreadsheetml/2010/11/main" uri="{B97F6D7D-B522-45F9-BDA1-12C45D357490}">
          <x15:cacheHierarchy aggregatedColumn="15"/>
        </ext>
      </extLst>
    </cacheHierarchy>
    <cacheHierarchy uniqueName="[Measures].[Count of Order_Time (Hour)]" caption="Count of Order_Time (Hour)" measure="1" displayFolder="" measureGroup="orders" count="0" hidden="1">
      <extLst>
        <ext xmlns:x15="http://schemas.microsoft.com/office/spreadsheetml/2010/11/main" uri="{B97F6D7D-B522-45F9-BDA1-12C45D357490}">
          <x15:cacheHierarchy aggregatedColumn="17"/>
        </ext>
      </extLst>
    </cacheHierarchy>
  </cacheHierarchies>
  <kpis count="0"/>
  <extLst>
    <ext xmlns:x14="http://schemas.microsoft.com/office/spreadsheetml/2009/9/main" uri="{725AE2AE-9491-48be-B2B4-4EB974FC3084}">
      <x14:pivotCacheDefinition slicerData="1" pivotCacheId="251190486"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C199DE3-321C-4C5B-93FC-9BE3FF3B48B1}" name="PivotTable6" cacheId="214" applyNumberFormats="0" applyBorderFormats="0" applyFontFormats="0" applyPatternFormats="0" applyAlignmentFormats="0" applyWidthHeightFormats="1" dataCaption="Values" tag="a1c14baf-784e-4f0f-b27d-1ca8311e8118" updatedVersion="8" minRefreshableVersion="3" useAutoFormatting="1" subtotalHiddenItems="1" itemPrintTitles="1" createdVersion="5" indent="0" outline="1" outlineData="1" multipleFieldFilters="0" chartFormat="4">
  <location ref="F33:G41" firstHeaderRow="1" firstDataRow="1" firstDataCol="1"/>
  <pivotFields count="4">
    <pivotField dataField="1" subtotalTop="0" showAll="0" defaultSubtotal="0"/>
    <pivotField axis="axisRow" allDrilled="1" subtotalTop="0" showAll="0" sortType="descending" defaultSubtotal="0" defaultAttributeDrillState="1">
      <items count="7">
        <item x="0"/>
        <item x="1"/>
        <item x="2"/>
        <item x="3"/>
        <item x="4"/>
        <item x="5"/>
        <item x="6"/>
      </items>
      <autoSortScope>
        <pivotArea dataOnly="0" outline="0" fieldPosition="0">
          <references count="1">
            <reference field="4294967294" count="1" selected="0">
              <x v="0"/>
            </reference>
          </references>
        </pivotArea>
      </autoSortScope>
    </pivotField>
    <pivotField allDrilled="1" subtotalTop="0" showAll="0" dataSourceSort="1" defaultSubtotal="0" defaultAttributeDrillState="1"/>
    <pivotField allDrilled="1" subtotalTop="0" showAll="0" dataSourceSort="1" defaultSubtotal="0" defaultAttributeDrillState="1"/>
  </pivotFields>
  <rowFields count="1">
    <field x="1"/>
  </rowFields>
  <rowItems count="8">
    <i>
      <x v="1"/>
    </i>
    <i>
      <x v="5"/>
    </i>
    <i>
      <x v="6"/>
    </i>
    <i>
      <x/>
    </i>
    <i>
      <x v="4"/>
    </i>
    <i>
      <x v="3"/>
    </i>
    <i>
      <x v="2"/>
    </i>
    <i t="grand">
      <x/>
    </i>
  </rowItems>
  <colItems count="1">
    <i/>
  </colItems>
  <dataFields count="1">
    <dataField fld="0" subtotal="count" baseField="0" baseItem="0"/>
  </dataFields>
  <formats count="7">
    <format dxfId="77">
      <pivotArea type="all" dataOnly="0" outline="0" fieldPosition="0"/>
    </format>
    <format dxfId="76">
      <pivotArea outline="0" collapsedLevelsAreSubtotals="1" fieldPosition="0"/>
    </format>
    <format dxfId="75">
      <pivotArea type="all" dataOnly="0" outline="0" fieldPosition="0"/>
    </format>
    <format dxfId="74">
      <pivotArea outline="0" collapsedLevelsAreSubtotals="1" fieldPosition="0"/>
    </format>
    <format dxfId="73">
      <pivotArea type="all" dataOnly="0" outline="0" fieldPosition="0"/>
    </format>
    <format dxfId="72">
      <pivotArea outline="0" collapsedLevelsAreSubtotals="1" fieldPosition="0"/>
    </format>
    <format dxfId="71">
      <pivotArea collapsedLevelsAreSubtotals="1" fieldPosition="0">
        <references count="1">
          <reference field="1" count="0"/>
        </references>
      </pivotArea>
    </format>
  </formats>
  <chartFormats count="1">
    <chartFormat chart="2" format="2" series="1">
      <pivotArea type="data" outline="0" fieldPosition="0">
        <references count="1">
          <reference field="4294967294" count="1" selected="0">
            <x v="0"/>
          </reference>
        </references>
      </pivotArea>
    </chartFormat>
  </chartFormats>
  <pivotHierarchies count="4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activeTabTopLevelEntity name="[custom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E6B10231-276F-4E37-B9B5-F9AE53E1F72B}" name="PivotTable4" cacheId="226" applyNumberFormats="0" applyBorderFormats="0" applyFontFormats="0" applyPatternFormats="0" applyAlignmentFormats="0" applyWidthHeightFormats="1" dataCaption="Values" tag="8a46c74d-3cf2-4499-a3d5-a5193869becc" updatedVersion="8" minRefreshableVersion="3" useAutoFormatting="1" subtotalHiddenItems="1" itemPrintTitles="1" createdVersion="5" indent="0" outline="1" outlineData="1" multipleFieldFilters="0" chartFormat="3" rowHeaderCaption="Occasions">
  <location ref="F19:G27" firstHeaderRow="1" firstDataRow="1" firstDataCol="1"/>
  <pivotFields count="3">
    <pivotField axis="axisRow" allDrilled="1" subtotalTop="0" showAll="0" sortType="descending" defaultSubtotal="0" defaultAttributeDrillState="1">
      <items count="7">
        <item x="0"/>
        <item x="1"/>
        <item x="2"/>
        <item x="3"/>
        <item x="4"/>
        <item x="5"/>
        <item x="6"/>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0"/>
  </rowFields>
  <rowItems count="8">
    <i>
      <x v="1"/>
    </i>
    <i>
      <x v="5"/>
    </i>
    <i>
      <x/>
    </i>
    <i>
      <x v="4"/>
    </i>
    <i>
      <x v="2"/>
    </i>
    <i>
      <x v="6"/>
    </i>
    <i>
      <x v="3"/>
    </i>
    <i t="grand">
      <x/>
    </i>
  </rowItems>
  <colItems count="1">
    <i/>
  </colItems>
  <dataFields count="1">
    <dataField name=" Revenue" fld="1" baseField="0" baseItem="0"/>
  </dataFields>
  <formats count="7">
    <format dxfId="84">
      <pivotArea type="all" dataOnly="0" outline="0" fieldPosition="0"/>
    </format>
    <format dxfId="83">
      <pivotArea outline="0" collapsedLevelsAreSubtotals="1" fieldPosition="0"/>
    </format>
    <format dxfId="82">
      <pivotArea type="all" dataOnly="0" outline="0" fieldPosition="0"/>
    </format>
    <format dxfId="81">
      <pivotArea outline="0" collapsedLevelsAreSubtotals="1" fieldPosition="0"/>
    </format>
    <format dxfId="80">
      <pivotArea type="all" dataOnly="0" outline="0" fieldPosition="0"/>
    </format>
    <format dxfId="79">
      <pivotArea outline="0" collapsedLevelsAreSubtotals="1" fieldPosition="0"/>
    </format>
    <format dxfId="78">
      <pivotArea collapsedLevelsAreSubtotals="1" fieldPosition="0">
        <references count="1">
          <reference field="0" count="0"/>
        </references>
      </pivotArea>
    </format>
  </formats>
  <chartFormats count="1">
    <chartFormat chart="2" format="2" series="1">
      <pivotArea type="data" outline="0" fieldPosition="0">
        <references count="1">
          <reference field="4294967294" count="1" selected="0">
            <x v="0"/>
          </reference>
        </references>
      </pivotArea>
    </chartFormat>
  </chartFormats>
  <pivotHierarchies count="4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activeTabTopLevelEntity name="[custom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AF87FAF1-CE57-4108-BA72-076B717E0B76}" name="PivotTable3" cacheId="208" applyNumberFormats="0" applyBorderFormats="0" applyFontFormats="0" applyPatternFormats="0" applyAlignmentFormats="0" applyWidthHeightFormats="1" dataCaption="Values" tag="6178c8cf-1d90-48ee-9beb-4c7b807e7bd4" updatedVersion="8" minRefreshableVersion="3" useAutoFormatting="1" subtotalHiddenItems="1" itemPrintTitles="1" createdVersion="5" indent="0" outline="1" outlineData="1" multipleFieldFilters="0">
  <location ref="C19:D22" firstHeaderRow="1" firstDataRow="1" firstDataCol="1"/>
  <pivotFields count="4">
    <pivotField axis="axisRow"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1">
    <field x="0"/>
  </rowFields>
  <rowItems count="3">
    <i>
      <x/>
    </i>
    <i>
      <x v="1"/>
    </i>
    <i t="grand">
      <x/>
    </i>
  </rowItems>
  <colItems count="1">
    <i/>
  </colItems>
  <dataFields count="1">
    <dataField fld="1" subtotal="count" baseField="0" baseItem="0"/>
  </dataFields>
  <formats count="7">
    <format dxfId="91">
      <pivotArea type="all" dataOnly="0" outline="0" fieldPosition="0"/>
    </format>
    <format dxfId="90">
      <pivotArea outline="0" collapsedLevelsAreSubtotals="1" fieldPosition="0"/>
    </format>
    <format dxfId="89">
      <pivotArea type="all" dataOnly="0" outline="0" fieldPosition="0"/>
    </format>
    <format dxfId="88">
      <pivotArea outline="0" collapsedLevelsAreSubtotals="1" fieldPosition="0"/>
    </format>
    <format dxfId="87">
      <pivotArea type="all" dataOnly="0" outline="0" fieldPosition="0"/>
    </format>
    <format dxfId="86">
      <pivotArea outline="0" collapsedLevelsAreSubtotals="1" fieldPosition="0"/>
    </format>
    <format dxfId="85">
      <pivotArea collapsedLevelsAreSubtotals="1" fieldPosition="0">
        <references count="1">
          <reference field="0" count="0"/>
        </references>
      </pivotArea>
    </format>
  </formats>
  <pivotHierarchies count="4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activeTabTopLevelEntity name="[custom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1EA9F257-4E45-4C1A-A278-3E7B2BECA19C}" name="PivotTable8" cacheId="220" applyNumberFormats="0" applyBorderFormats="0" applyFontFormats="0" applyPatternFormats="0" applyAlignmentFormats="0" applyWidthHeightFormats="1" dataCaption="Values" tag="eb084d0d-cb24-488f-ae42-bb001587dfda" updatedVersion="8" minRefreshableVersion="3" useAutoFormatting="1" subtotalHiddenItems="1" itemPrintTitles="1" createdVersion="5" indent="0" outline="1" outlineData="1" multipleFieldFilters="0" chartFormat="6">
  <location ref="F53:G59" firstHeaderRow="1" firstDataRow="1" firstDataCol="1"/>
  <pivotFields count="5">
    <pivotField dataField="1" subtotalTop="0" showAll="0" defaultSubtotal="0"/>
    <pivotField allDrilled="1" subtotalTop="0" showAll="0" sortType="descending" defaultSubtotal="0" defaultAttributeDrillState="1">
      <items count="7">
        <item x="0"/>
        <item x="1"/>
        <item x="2"/>
        <item x="3"/>
        <item x="4"/>
        <item x="5"/>
        <item x="6"/>
      </items>
      <autoSortScope>
        <pivotArea dataOnly="0" outline="0" fieldPosition="0">
          <references count="1">
            <reference field="4294967294" count="1" selected="0">
              <x v="0"/>
            </reference>
          </references>
        </pivotArea>
      </autoSortScope>
    </pivotField>
    <pivotField axis="axisRow" allDrilled="1" subtotalTop="0" showAll="0" measureFilter="1" dataSourceSort="1" defaultSubtotal="0" defaultAttributeDrillState="1">
      <items count="5">
        <item x="0"/>
        <item x="1"/>
        <item x="2"/>
        <item x="3"/>
        <item x="4"/>
      </items>
    </pivotField>
    <pivotField allDrilled="1" subtotalTop="0" showAll="0" dataSourceSort="1" defaultSubtotal="0" defaultAttributeDrillState="1"/>
    <pivotField allDrilled="1" subtotalTop="0" showAll="0" dataSourceSort="1" defaultSubtotal="0" defaultAttributeDrillState="1"/>
  </pivotFields>
  <rowFields count="1">
    <field x="2"/>
  </rowFields>
  <rowItems count="6">
    <i>
      <x/>
    </i>
    <i>
      <x v="1"/>
    </i>
    <i>
      <x v="2"/>
    </i>
    <i>
      <x v="3"/>
    </i>
    <i>
      <x v="4"/>
    </i>
    <i t="grand">
      <x/>
    </i>
  </rowItems>
  <colItems count="1">
    <i/>
  </colItems>
  <dataFields count="1">
    <dataField fld="0" subtotal="count" baseField="0" baseItem="0"/>
  </dataFields>
  <formats count="7">
    <format dxfId="98">
      <pivotArea type="all" dataOnly="0" outline="0" fieldPosition="0"/>
    </format>
    <format dxfId="97">
      <pivotArea outline="0" collapsedLevelsAreSubtotals="1" fieldPosition="0"/>
    </format>
    <format dxfId="96">
      <pivotArea type="all" dataOnly="0" outline="0" fieldPosition="0"/>
    </format>
    <format dxfId="95">
      <pivotArea outline="0" collapsedLevelsAreSubtotals="1" fieldPosition="0"/>
    </format>
    <format dxfId="94">
      <pivotArea type="all" dataOnly="0" outline="0" fieldPosition="0"/>
    </format>
    <format dxfId="93">
      <pivotArea outline="0" collapsedLevelsAreSubtotals="1" fieldPosition="0"/>
    </format>
    <format dxfId="92">
      <pivotArea collapsedLevelsAreSubtotals="1" fieldPosition="0">
        <references count="1">
          <reference field="2" count="0"/>
        </references>
      </pivotArea>
    </format>
  </formats>
  <chartFormats count="1">
    <chartFormat chart="4" format="2" series="1">
      <pivotArea type="data" outline="0" fieldPosition="0">
        <references count="1">
          <reference field="4294967294" count="1" selected="0">
            <x v="0"/>
          </reference>
        </references>
      </pivotArea>
    </chartFormat>
  </chartFormats>
  <pivotHierarchies count="4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2" type="count" id="1" iMeasureHier="27">
      <autoFilter ref="A1">
        <filterColumn colId="0">
          <top10 val="5" filterVal="5"/>
        </filterColumn>
      </autoFilter>
    </filter>
  </filters>
  <rowHierarchiesUsage count="1">
    <rowHierarchyUsage hierarchyUsage="2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activeTabTopLevelEntity name="[custom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40B99546-FF8B-4EDD-A982-D50F5BB22FC1}" name="PivotTable1" cacheId="223" applyNumberFormats="0" applyBorderFormats="0" applyFontFormats="0" applyPatternFormats="0" applyAlignmentFormats="0" applyWidthHeightFormats="1" dataCaption="Values" tag="22624c88-43da-4b15-8d06-92b95773cd4c" updatedVersion="8" minRefreshableVersion="3" useAutoFormatting="1" subtotalHiddenItems="1" itemPrintTitles="1" createdVersion="5" indent="0" outline="1" outlineData="1" multipleFieldFilters="0" chartFormat="7">
  <location ref="J54:K79" firstHeaderRow="1" firstDataRow="1" firstDataCol="1"/>
  <pivotFields count="6">
    <pivotField allDrilled="1" subtotalTop="0" showAll="0" measureFilter="1" defaultSubtotal="0" defaultAttributeDrillState="1">
      <items count="10">
        <item x="0"/>
        <item x="1"/>
        <item x="2"/>
        <item x="3"/>
        <item x="4"/>
        <item x="5"/>
        <item x="6"/>
        <item x="7"/>
        <item x="8"/>
        <item x="9"/>
      </items>
    </pivotField>
    <pivotField dataField="1" subtotalTop="0" showAll="0" defaultSubtotal="0"/>
    <pivotField allDrilled="1" subtotalTop="0" showAll="0" sortType="descending" defaultSubtotal="0" defaultAttributeDrillState="1">
      <items count="1">
        <item x="0"/>
      </items>
    </pivotField>
    <pivotField axis="axisRow" allDrilled="1" subtotalTop="0" showAll="0" dataSourceSort="1" defaultSubtotal="0" defaultAttributeDrillState="1">
      <items count="24">
        <item x="0"/>
        <item x="1"/>
        <item x="2"/>
        <item x="3"/>
        <item x="4"/>
        <item x="5"/>
        <item x="6"/>
        <item x="7"/>
        <item x="8"/>
        <item x="9"/>
        <item x="10"/>
        <item x="11"/>
        <item x="12"/>
        <item x="13"/>
        <item x="14"/>
        <item x="15"/>
        <item x="16"/>
        <item x="17"/>
        <item x="18"/>
        <item x="19"/>
        <item x="20"/>
        <item x="21"/>
        <item x="22"/>
        <item x="23"/>
      </items>
    </pivotField>
    <pivotField allDrilled="1" subtotalTop="0" showAll="0" dataSourceSort="1" defaultSubtotal="0" defaultAttributeDrillState="1"/>
    <pivotField allDrilled="1" subtotalTop="0" showAll="0" dataSourceSort="1" defaultSubtotal="0" defaultAttributeDrillState="1"/>
  </pivotFields>
  <rowFields count="1">
    <field x="3"/>
  </rowFields>
  <rowItems count="25">
    <i>
      <x/>
    </i>
    <i>
      <x v="1"/>
    </i>
    <i>
      <x v="2"/>
    </i>
    <i>
      <x v="3"/>
    </i>
    <i>
      <x v="4"/>
    </i>
    <i>
      <x v="5"/>
    </i>
    <i>
      <x v="6"/>
    </i>
    <i>
      <x v="7"/>
    </i>
    <i>
      <x v="8"/>
    </i>
    <i>
      <x v="9"/>
    </i>
    <i>
      <x v="10"/>
    </i>
    <i>
      <x v="11"/>
    </i>
    <i>
      <x v="12"/>
    </i>
    <i>
      <x v="13"/>
    </i>
    <i>
      <x v="14"/>
    </i>
    <i>
      <x v="15"/>
    </i>
    <i>
      <x v="16"/>
    </i>
    <i>
      <x v="17"/>
    </i>
    <i>
      <x v="18"/>
    </i>
    <i>
      <x v="19"/>
    </i>
    <i>
      <x v="20"/>
    </i>
    <i>
      <x v="21"/>
    </i>
    <i>
      <x v="22"/>
    </i>
    <i>
      <x v="23"/>
    </i>
    <i t="grand">
      <x/>
    </i>
  </rowItems>
  <colItems count="1">
    <i/>
  </colItems>
  <dataFields count="1">
    <dataField fld="1" subtotal="count" baseField="0" baseItem="0"/>
  </dataFields>
  <formats count="7">
    <format dxfId="105">
      <pivotArea type="all" dataOnly="0" outline="0" fieldPosition="0"/>
    </format>
    <format dxfId="104">
      <pivotArea outline="0" collapsedLevelsAreSubtotals="1" fieldPosition="0"/>
    </format>
    <format dxfId="103">
      <pivotArea type="all" dataOnly="0" outline="0" fieldPosition="0"/>
    </format>
    <format dxfId="102">
      <pivotArea outline="0" collapsedLevelsAreSubtotals="1" fieldPosition="0"/>
    </format>
    <format dxfId="101">
      <pivotArea type="all" dataOnly="0" outline="0" fieldPosition="0"/>
    </format>
    <format dxfId="100">
      <pivotArea outline="0" collapsedLevelsAreSubtotals="1" fieldPosition="0"/>
    </format>
    <format dxfId="99">
      <pivotArea collapsedLevelsAreSubtotals="1" fieldPosition="0">
        <references count="1">
          <reference field="3" count="0"/>
        </references>
      </pivotArea>
    </format>
  </formats>
  <chartFormats count="2">
    <chartFormat chart="4"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s>
  <pivotHierarchies count="4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0" type="count" id="1" iMeasureHier="26">
      <autoFilter ref="A1">
        <filterColumn colId="0">
          <top10 val="10" filterVal="10"/>
        </filterColumn>
      </autoFilter>
    </filter>
  </filters>
  <rowHierarchiesUsage count="1">
    <rowHierarchyUsage hierarchyUsage="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activeTabTopLevelEntity name="[custom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21B9B87D-0A07-44E1-8E53-CC2EDE584D6F}" name="PivotTable7" cacheId="217" applyNumberFormats="0" applyBorderFormats="0" applyFontFormats="0" applyPatternFormats="0" applyAlignmentFormats="0" applyWidthHeightFormats="1" dataCaption="Values" tag="a62ac440-2da6-4452-94e6-045509379555" updatedVersion="8" minRefreshableVersion="3" useAutoFormatting="1" subtotalHiddenItems="1" itemPrintTitles="1" createdVersion="5" indent="0" outline="1" outlineData="1" multipleFieldFilters="0" chartFormat="4">
  <location ref="C53:D64" firstHeaderRow="1" firstDataRow="1" firstDataCol="1"/>
  <pivotFields count="4">
    <pivotField dataField="1" subtotalTop="0" showAll="0" defaultSubtotal="0"/>
    <pivotField axis="axisRow" allDrilled="1" subtotalTop="0" showAll="0" measureFilter="1" sortType="de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allDrilled="1" subtotalTop="0" showAll="0" dataSourceSort="1" defaultSubtotal="0" defaultAttributeDrillState="1"/>
    <pivotField allDrilled="1" subtotalTop="0" showAll="0" dataSourceSort="1" defaultSubtotal="0" defaultAttributeDrillState="1"/>
  </pivotFields>
  <rowFields count="1">
    <field x="1"/>
  </rowFields>
  <rowItems count="11">
    <i>
      <x v="7"/>
    </i>
    <i>
      <x v="3"/>
    </i>
    <i>
      <x v="8"/>
    </i>
    <i>
      <x v="6"/>
    </i>
    <i>
      <x v="1"/>
    </i>
    <i>
      <x v="4"/>
    </i>
    <i>
      <x v="5"/>
    </i>
    <i>
      <x v="9"/>
    </i>
    <i>
      <x v="2"/>
    </i>
    <i>
      <x/>
    </i>
    <i t="grand">
      <x/>
    </i>
  </rowItems>
  <colItems count="1">
    <i/>
  </colItems>
  <dataFields count="1">
    <dataField fld="0" subtotal="count" baseField="0" baseItem="0"/>
  </dataFields>
  <formats count="6">
    <format dxfId="111">
      <pivotArea type="all" dataOnly="0" outline="0" fieldPosition="0"/>
    </format>
    <format dxfId="110">
      <pivotArea outline="0" collapsedLevelsAreSubtotals="1" fieldPosition="0"/>
    </format>
    <format dxfId="109">
      <pivotArea type="all" dataOnly="0" outline="0" fieldPosition="0"/>
    </format>
    <format dxfId="108">
      <pivotArea outline="0" collapsedLevelsAreSubtotals="1" fieldPosition="0"/>
    </format>
    <format dxfId="107">
      <pivotArea type="all" dataOnly="0" outline="0" fieldPosition="0"/>
    </format>
    <format dxfId="106">
      <pivotArea outline="0" collapsedLevelsAreSubtotals="1" fieldPosition="0"/>
    </format>
  </format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Hierarchies count="4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1" type="count" id="1" iMeasureHier="26">
      <autoFilter ref="A1">
        <filterColumn colId="0">
          <top10 val="10" filterVal="10"/>
        </filterColumn>
      </autoFilter>
    </filter>
  </filters>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activeTabTopLevelEntity name="[custom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6672132B-9C2B-45F9-8F62-34A908952D30}" name="PivotTable2" cacheId="205" applyNumberFormats="0" applyBorderFormats="0" applyFontFormats="0" applyPatternFormats="0" applyAlignmentFormats="0" applyWidthHeightFormats="1" dataCaption="Values" tag="e23d809c-0e35-478e-bc1e-d1d0aa66eccb" updatedVersion="8" minRefreshableVersion="3" useAutoFormatting="1" subtotalHiddenItems="1" itemPrintTitles="1" createdVersion="5" indent="0" outline="1" outlineData="1" multipleFieldFilters="0">
  <location ref="C10:F11" firstHeaderRow="0" firstDataRow="1" firstDataCol="0"/>
  <pivotFields count="6">
    <pivotField dataField="1" subtotalTop="0" showAll="0" defaultSubtotal="0"/>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Fields count="1">
    <field x="-2"/>
  </colFields>
  <colItems count="4">
    <i>
      <x/>
    </i>
    <i i="1">
      <x v="1"/>
    </i>
    <i i="2">
      <x v="2"/>
    </i>
    <i i="3">
      <x v="3"/>
    </i>
  </colItems>
  <dataFields count="4">
    <dataField fld="2" subtotal="count" baseField="0" baseItem="0" numFmtId="164"/>
    <dataField fld="1" subtotal="count" baseField="0" baseItem="0"/>
    <dataField fld="3" subtotal="count" baseField="0" baseItem="0" numFmtId="165"/>
    <dataField name="Average of Delivery Time" fld="0" subtotal="average" baseField="0" baseItem="0"/>
  </dataFields>
  <formats count="12">
    <format dxfId="123">
      <pivotArea dataOnly="0" labelOnly="1" outline="0" fieldPosition="0">
        <references count="1">
          <reference field="4294967294" count="4">
            <x v="0"/>
            <x v="1"/>
            <x v="2"/>
            <x v="3"/>
          </reference>
        </references>
      </pivotArea>
    </format>
    <format dxfId="122">
      <pivotArea type="all" dataOnly="0" outline="0" fieldPosition="0"/>
    </format>
    <format dxfId="121">
      <pivotArea outline="0" collapsedLevelsAreSubtotals="1" fieldPosition="0"/>
    </format>
    <format dxfId="120">
      <pivotArea dataOnly="0" labelOnly="1" outline="0" fieldPosition="0">
        <references count="1">
          <reference field="4294967294" count="4">
            <x v="0"/>
            <x v="1"/>
            <x v="2"/>
            <x v="3"/>
          </reference>
        </references>
      </pivotArea>
    </format>
    <format dxfId="119">
      <pivotArea type="all" dataOnly="0" outline="0" fieldPosition="0"/>
    </format>
    <format dxfId="118">
      <pivotArea outline="0" collapsedLevelsAreSubtotals="1" fieldPosition="0"/>
    </format>
    <format dxfId="117">
      <pivotArea dataOnly="0" labelOnly="1" outline="0" fieldPosition="0">
        <references count="1">
          <reference field="4294967294" count="4">
            <x v="0"/>
            <x v="1"/>
            <x v="2"/>
            <x v="3"/>
          </reference>
        </references>
      </pivotArea>
    </format>
    <format dxfId="116">
      <pivotArea type="all" dataOnly="0" outline="0" fieldPosition="0"/>
    </format>
    <format dxfId="115">
      <pivotArea outline="0" collapsedLevelsAreSubtotals="1" fieldPosition="0"/>
    </format>
    <format dxfId="114">
      <pivotArea dataOnly="0" labelOnly="1" outline="0" fieldPosition="0">
        <references count="1">
          <reference field="4294967294" count="4">
            <x v="0"/>
            <x v="1"/>
            <x v="2"/>
            <x v="3"/>
          </reference>
        </references>
      </pivotArea>
    </format>
    <format dxfId="113">
      <pivotArea outline="0" collapsedLevelsAreSubtotals="1" fieldPosition="0">
        <references count="1">
          <reference field="4294967294" count="1" selected="0">
            <x v="0"/>
          </reference>
        </references>
      </pivotArea>
    </format>
    <format dxfId="112">
      <pivotArea outline="0" collapsedLevelsAreSubtotals="1" fieldPosition="0">
        <references count="1">
          <reference field="4294967294" count="1" selected="0">
            <x v="2"/>
          </reference>
        </references>
      </pivotArea>
    </format>
  </formats>
  <pivotHierarchies count="4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AC557E64-0D35-4BFD-9E0F-D258EC96058C}" name="PivotTable5" cacheId="211" applyNumberFormats="0" applyBorderFormats="0" applyFontFormats="0" applyPatternFormats="0" applyAlignmentFormats="0" applyWidthHeightFormats="1" dataCaption="Values" tag="3ad3460c-a000-4495-9936-17352bd773ff" updatedVersion="8" minRefreshableVersion="3" useAutoFormatting="1" subtotalHiddenItems="1" itemPrintTitles="1" createdVersion="5" indent="0" outline="1" outlineData="1" multipleFieldFilters="0" chartFormat="9">
  <location ref="C33:D46" firstHeaderRow="1" firstDataRow="1" firstDataCol="1"/>
  <pivotFields count="4">
    <pivotField dataField="1" subtotalTop="0" showAll="0" defaultSubtotal="0"/>
    <pivotField axis="axisRow" allDrilled="1" subtotalTop="0" showAll="0" dataSourceSort="1" defaultSubtotal="0" defaultAttributeDrillState="1">
      <items count="28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s>
    </pivotField>
    <pivotField axis="axisRow" allDrilled="1" subtotalTop="0" showAll="0" dataSourceSort="1" defaultSubtotal="0">
      <items count="12">
        <item x="0" e="0"/>
        <item x="1" e="0"/>
        <item x="2" e="0"/>
        <item x="3" e="0"/>
        <item x="4" e="0"/>
        <item x="5" e="0"/>
        <item x="6" e="0"/>
        <item x="7" e="0"/>
        <item x="8" e="0"/>
        <item x="9" e="0"/>
        <item x="10" e="0"/>
        <item x="11" e="0"/>
      </items>
    </pivotField>
    <pivotField allDrilled="1" subtotalTop="0" showAll="0" dataSourceSort="1" defaultSubtotal="0" defaultAttributeDrillState="1"/>
  </pivotFields>
  <rowFields count="2">
    <field x="2"/>
    <field x="1"/>
  </rowFields>
  <rowItems count="13">
    <i>
      <x/>
    </i>
    <i>
      <x v="1"/>
    </i>
    <i>
      <x v="2"/>
    </i>
    <i>
      <x v="3"/>
    </i>
    <i>
      <x v="4"/>
    </i>
    <i>
      <x v="5"/>
    </i>
    <i>
      <x v="6"/>
    </i>
    <i>
      <x v="7"/>
    </i>
    <i>
      <x v="8"/>
    </i>
    <i>
      <x v="9"/>
    </i>
    <i>
      <x v="10"/>
    </i>
    <i>
      <x v="11"/>
    </i>
    <i t="grand">
      <x/>
    </i>
  </rowItems>
  <colItems count="1">
    <i/>
  </colItems>
  <dataFields count="1">
    <dataField fld="0" subtotal="count" baseField="0" baseItem="0"/>
  </dataFields>
  <formats count="18">
    <format dxfId="141">
      <pivotArea type="all" dataOnly="0" outline="0" fieldPosition="0"/>
    </format>
    <format dxfId="140">
      <pivotArea outline="0" collapsedLevelsAreSubtotals="1" fieldPosition="0"/>
    </format>
    <format dxfId="139">
      <pivotArea type="all" dataOnly="0" outline="0" fieldPosition="0"/>
    </format>
    <format dxfId="138">
      <pivotArea outline="0" collapsedLevelsAreSubtotals="1" fieldPosition="0"/>
    </format>
    <format dxfId="137">
      <pivotArea type="all" dataOnly="0" outline="0" fieldPosition="0"/>
    </format>
    <format dxfId="136">
      <pivotArea outline="0" collapsedLevelsAreSubtotals="1" fieldPosition="0"/>
    </format>
    <format dxfId="135">
      <pivotArea collapsedLevelsAreSubtotals="1" fieldPosition="0">
        <references count="1">
          <reference field="2" count="1">
            <x v="0"/>
          </reference>
        </references>
      </pivotArea>
    </format>
    <format dxfId="134">
      <pivotArea collapsedLevelsAreSubtotals="1" fieldPosition="0">
        <references count="1">
          <reference field="2" count="1">
            <x v="1"/>
          </reference>
        </references>
      </pivotArea>
    </format>
    <format dxfId="133">
      <pivotArea collapsedLevelsAreSubtotals="1" fieldPosition="0">
        <references count="1">
          <reference field="2" count="1">
            <x v="2"/>
          </reference>
        </references>
      </pivotArea>
    </format>
    <format dxfId="132">
      <pivotArea collapsedLevelsAreSubtotals="1" fieldPosition="0">
        <references count="1">
          <reference field="2" count="1">
            <x v="3"/>
          </reference>
        </references>
      </pivotArea>
    </format>
    <format dxfId="131">
      <pivotArea collapsedLevelsAreSubtotals="1" fieldPosition="0">
        <references count="1">
          <reference field="2" count="1">
            <x v="4"/>
          </reference>
        </references>
      </pivotArea>
    </format>
    <format dxfId="130">
      <pivotArea collapsedLevelsAreSubtotals="1" fieldPosition="0">
        <references count="1">
          <reference field="2" count="1">
            <x v="5"/>
          </reference>
        </references>
      </pivotArea>
    </format>
    <format dxfId="129">
      <pivotArea collapsedLevelsAreSubtotals="1" fieldPosition="0">
        <references count="1">
          <reference field="2" count="1">
            <x v="6"/>
          </reference>
        </references>
      </pivotArea>
    </format>
    <format dxfId="128">
      <pivotArea collapsedLevelsAreSubtotals="1" fieldPosition="0">
        <references count="1">
          <reference field="2" count="1">
            <x v="7"/>
          </reference>
        </references>
      </pivotArea>
    </format>
    <format dxfId="127">
      <pivotArea collapsedLevelsAreSubtotals="1" fieldPosition="0">
        <references count="1">
          <reference field="2" count="1">
            <x v="8"/>
          </reference>
        </references>
      </pivotArea>
    </format>
    <format dxfId="126">
      <pivotArea collapsedLevelsAreSubtotals="1" fieldPosition="0">
        <references count="1">
          <reference field="2" count="1">
            <x v="9"/>
          </reference>
        </references>
      </pivotArea>
    </format>
    <format dxfId="125">
      <pivotArea collapsedLevelsAreSubtotals="1" fieldPosition="0">
        <references count="1">
          <reference field="2" count="1">
            <x v="10"/>
          </reference>
        </references>
      </pivotArea>
    </format>
    <format dxfId="124">
      <pivotArea collapsedLevelsAreSubtotals="1" fieldPosition="0">
        <references count="1">
          <reference field="2" count="1">
            <x v="11"/>
          </reference>
        </references>
      </pivotArea>
    </format>
  </formats>
  <chartFormats count="1">
    <chartFormat chart="6" format="2" series="1">
      <pivotArea type="data" outline="0" fieldPosition="0">
        <references count="1">
          <reference field="4294967294" count="1" selected="0">
            <x v="0"/>
          </reference>
        </references>
      </pivotArea>
    </chartFormat>
  </chartFormats>
  <pivotHierarchies count="4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2">
    <rowHierarchyUsage hierarchyUsage="16"/>
    <rowHierarchyUsage hierarchyUsage="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activeTabTopLevelEntity name="[customers]"/>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ccasion" xr10:uid="{7DE40FED-8457-40DD-BE35-490A885A64B9}" sourceName="[products].[Occasion]">
  <pivotTables>
    <pivotTable tabId="1" name="PivotTable4"/>
    <pivotTable tabId="1" name="PivotTable2"/>
    <pivotTable tabId="1" name="PivotTable3"/>
    <pivotTable tabId="1" name="PivotTable5"/>
    <pivotTable tabId="1" name="PivotTable6"/>
    <pivotTable tabId="1" name="PivotTable7"/>
    <pivotTable tabId="1" name="PivotTable8"/>
    <pivotTable tabId="1" name="PivotTable1"/>
  </pivotTables>
  <data>
    <olap pivotCacheId="251190486">
      <levels count="2">
        <level uniqueName="[products].[Occasion].[(All)]" sourceCaption="(All)" count="0"/>
        <level uniqueName="[products].[Occasion].[Occasion]" sourceCaption="Occasion" count="7">
          <ranges>
            <range startItem="0">
              <i n="[products].[Occasion].&amp;[All Occasions]" c="All Occasions"/>
              <i n="[products].[Occasion].&amp;[Anniversary]" c="Anniversary"/>
              <i n="[products].[Occasion].&amp;[Birthday]" c="Birthday"/>
              <i n="[products].[Occasion].&amp;[Diwali]" c="Diwali"/>
              <i n="[products].[Occasion].&amp;[Holi]" c="Holi"/>
              <i n="[products].[Occasion].&amp;[Raksha Bandhan]" c="Raksha Bandhan"/>
              <i n="[products].[Occasion].&amp;[Valentine's Day]" c="Valentine's Day"/>
            </range>
          </ranges>
        </level>
      </levels>
      <selections count="1">
        <selection n="[products].[Occasion].[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rder_Date__Month" xr10:uid="{DEAE8757-9A71-4782-AC40-53C930B41C9A}" sourceName="[orders].[Order_Date (Month)]">
  <pivotTables>
    <pivotTable tabId="1" name="PivotTable4"/>
    <pivotTable tabId="1" name="PivotTable2"/>
    <pivotTable tabId="1" name="PivotTable3"/>
    <pivotTable tabId="1" name="PivotTable5"/>
    <pivotTable tabId="1" name="PivotTable6"/>
    <pivotTable tabId="1" name="PivotTable7"/>
    <pivotTable tabId="1" name="PivotTable8"/>
    <pivotTable tabId="1" name="PivotTable1"/>
  </pivotTables>
  <data>
    <olap pivotCacheId="251190486">
      <levels count="2">
        <level uniqueName="[orders].[Order_Date (Month)].[(All)]" sourceCaption="(All)" count="0"/>
        <level uniqueName="[orders].[Order_Date (Month)].[Order_Date (Month)]" sourceCaption="Order_Date (Month)" count="12">
          <ranges>
            <range startItem="0">
              <i n="[orders].[Order_Date (Month)].&amp;[Jan]" c="Jan"/>
              <i n="[orders].[Order_Date (Month)].&amp;[Feb]" c="Feb"/>
              <i n="[orders].[Order_Date (Month)].&amp;[Mar]" c="Mar"/>
              <i n="[orders].[Order_Date (Month)].&amp;[Apr]" c="Apr"/>
              <i n="[orders].[Order_Date (Month)].&amp;[May]" c="May"/>
              <i n="[orders].[Order_Date (Month)].&amp;[Jun]" c="Jun"/>
              <i n="[orders].[Order_Date (Month)].&amp;[Jul]" c="Jul"/>
              <i n="[orders].[Order_Date (Month)].&amp;[Aug]" c="Aug"/>
              <i n="[orders].[Order_Date (Month)].&amp;[Sep]" c="Sep"/>
              <i n="[orders].[Order_Date (Month)].&amp;[Oct]" c="Oct"/>
              <i n="[orders].[Order_Date (Month)].&amp;[Nov]" c="Nov"/>
              <i n="[orders].[Order_Date (Month)].&amp;[Dec]" c="Dec"/>
            </range>
          </ranges>
        </level>
      </levels>
      <selections count="1">
        <selection n="[orders].[Order_Date (Month)].[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ccasion 1" xr10:uid="{77265A74-FAD0-48C0-B564-4DC70F180D39}" cache="Slicer_Occasion" caption="Occasion" level="1" style="SlicerStyleLight3 2" rowHeight="247650"/>
  <slicer name="Order_Date (Month) 1" xr10:uid="{BB5E6DEE-2BA3-4B1F-B135-ACC16127D26B}" cache="Slicer_Order_Date__Month" caption="Month" columnCount="3" level="1" style="SlicerStyleLight3 2" rowHeight="2476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2.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7FC325-17BE-4C1C-81C7-51DD3E5BD79D}">
  <dimension ref="C8:K79"/>
  <sheetViews>
    <sheetView zoomScale="87" zoomScaleNormal="70" workbookViewId="0"/>
  </sheetViews>
  <sheetFormatPr defaultRowHeight="14.4" x14ac:dyDescent="0.3"/>
  <cols>
    <col min="1" max="1" width="15.5546875" bestFit="1" customWidth="1"/>
    <col min="2" max="2" width="21.21875" customWidth="1"/>
    <col min="3" max="3" width="15.33203125" bestFit="1" customWidth="1"/>
    <col min="4" max="4" width="11.109375" bestFit="1" customWidth="1"/>
    <col min="5" max="5" width="14.109375" bestFit="1" customWidth="1"/>
    <col min="6" max="6" width="14.77734375" bestFit="1" customWidth="1"/>
    <col min="7" max="7" width="8.44140625" bestFit="1" customWidth="1"/>
    <col min="8" max="9" width="15.5546875" bestFit="1" customWidth="1"/>
    <col min="10" max="10" width="15.33203125" bestFit="1" customWidth="1"/>
    <col min="11" max="11" width="12.44140625" bestFit="1" customWidth="1"/>
    <col min="12" max="12" width="12.77734375" bestFit="1" customWidth="1"/>
    <col min="13" max="1000" width="15.5546875" bestFit="1" customWidth="1"/>
    <col min="1001" max="1001" width="10.5546875" bestFit="1" customWidth="1"/>
  </cols>
  <sheetData>
    <row r="8" spans="3:6" x14ac:dyDescent="0.3">
      <c r="C8" s="8" t="s">
        <v>50</v>
      </c>
      <c r="D8" s="9"/>
      <c r="E8" s="9"/>
      <c r="F8" s="9"/>
    </row>
    <row r="9" spans="3:6" x14ac:dyDescent="0.3">
      <c r="C9" s="9"/>
      <c r="D9" s="9"/>
      <c r="E9" s="9"/>
      <c r="F9" s="9"/>
    </row>
    <row r="10" spans="3:6" x14ac:dyDescent="0.3">
      <c r="C10" s="1" t="s">
        <v>4</v>
      </c>
      <c r="D10" s="1" t="s">
        <v>3</v>
      </c>
      <c r="E10" s="1" t="s">
        <v>5</v>
      </c>
      <c r="F10" s="1" t="s">
        <v>2</v>
      </c>
    </row>
    <row r="11" spans="3:6" x14ac:dyDescent="0.3">
      <c r="C11" s="4">
        <v>3520984</v>
      </c>
      <c r="D11" s="7">
        <v>1000</v>
      </c>
      <c r="E11" s="5">
        <v>3520.9839999999999</v>
      </c>
      <c r="F11" s="7">
        <v>5.53</v>
      </c>
    </row>
    <row r="13" spans="3:6" x14ac:dyDescent="0.3">
      <c r="C13" s="10">
        <f>GETPIVOTDATA("[Measures].[Total Revenue]",$C$10)</f>
        <v>3520984</v>
      </c>
      <c r="D13" s="11">
        <f>GETPIVOTDATA("[Measures].[Total Orders]",$C$10)</f>
        <v>1000</v>
      </c>
      <c r="E13" s="12">
        <f>GETPIVOTDATA("[Measures].[Avg Order Value]",$C$10)</f>
        <v>3520.9839999999999</v>
      </c>
      <c r="F13" s="13">
        <f>GETPIVOTDATA("[Measures].[Average of Delivery Time]",$C$10)</f>
        <v>5.53</v>
      </c>
    </row>
    <row r="19" spans="3:7" x14ac:dyDescent="0.3">
      <c r="C19" s="3" t="s">
        <v>0</v>
      </c>
      <c r="D19" s="2" t="s">
        <v>4</v>
      </c>
      <c r="F19" s="3" t="s">
        <v>26</v>
      </c>
      <c r="G19" s="2" t="s">
        <v>27</v>
      </c>
    </row>
    <row r="20" spans="3:7" x14ac:dyDescent="0.3">
      <c r="C20" s="2" t="s">
        <v>6</v>
      </c>
      <c r="D20" s="4">
        <v>1730761</v>
      </c>
      <c r="F20" s="2" t="s">
        <v>21</v>
      </c>
      <c r="G20" s="6">
        <v>674634</v>
      </c>
    </row>
    <row r="21" spans="3:7" x14ac:dyDescent="0.3">
      <c r="C21" s="2" t="s">
        <v>7</v>
      </c>
      <c r="D21" s="4">
        <v>1790223</v>
      </c>
      <c r="F21" s="2" t="s">
        <v>17</v>
      </c>
      <c r="G21" s="6">
        <v>631585</v>
      </c>
    </row>
    <row r="22" spans="3:7" x14ac:dyDescent="0.3">
      <c r="C22" s="2" t="s">
        <v>1</v>
      </c>
      <c r="D22" s="7">
        <v>3520984</v>
      </c>
      <c r="F22" s="2" t="s">
        <v>20</v>
      </c>
      <c r="G22" s="6">
        <v>586176</v>
      </c>
    </row>
    <row r="23" spans="3:7" x14ac:dyDescent="0.3">
      <c r="F23" s="2" t="s">
        <v>24</v>
      </c>
      <c r="G23" s="6">
        <v>574682</v>
      </c>
    </row>
    <row r="24" spans="3:7" x14ac:dyDescent="0.3">
      <c r="F24" s="2" t="s">
        <v>22</v>
      </c>
      <c r="G24" s="6">
        <v>408194</v>
      </c>
    </row>
    <row r="25" spans="3:7" x14ac:dyDescent="0.3">
      <c r="F25" s="2" t="s">
        <v>25</v>
      </c>
      <c r="G25" s="6">
        <v>331930</v>
      </c>
    </row>
    <row r="26" spans="3:7" x14ac:dyDescent="0.3">
      <c r="F26" s="2" t="s">
        <v>23</v>
      </c>
      <c r="G26" s="6">
        <v>313783</v>
      </c>
    </row>
    <row r="27" spans="3:7" x14ac:dyDescent="0.3">
      <c r="F27" s="2" t="s">
        <v>1</v>
      </c>
      <c r="G27" s="7">
        <v>3520984</v>
      </c>
    </row>
    <row r="33" spans="3:7" x14ac:dyDescent="0.3">
      <c r="C33" s="3" t="s">
        <v>0</v>
      </c>
      <c r="D33" s="2" t="s">
        <v>4</v>
      </c>
      <c r="F33" s="3" t="s">
        <v>0</v>
      </c>
      <c r="G33" s="2" t="s">
        <v>4</v>
      </c>
    </row>
    <row r="34" spans="3:7" x14ac:dyDescent="0.3">
      <c r="C34" s="2" t="s">
        <v>28</v>
      </c>
      <c r="D34" s="6">
        <v>95468</v>
      </c>
      <c r="F34" s="2" t="s">
        <v>14</v>
      </c>
      <c r="G34" s="6">
        <v>1005645</v>
      </c>
    </row>
    <row r="35" spans="3:7" x14ac:dyDescent="0.3">
      <c r="C35" s="2" t="s">
        <v>29</v>
      </c>
      <c r="D35" s="6">
        <v>704509</v>
      </c>
      <c r="F35" s="2" t="s">
        <v>18</v>
      </c>
      <c r="G35" s="6">
        <v>740831</v>
      </c>
    </row>
    <row r="36" spans="3:7" x14ac:dyDescent="0.3">
      <c r="C36" s="2" t="s">
        <v>30</v>
      </c>
      <c r="D36" s="6">
        <v>511823</v>
      </c>
      <c r="F36" s="2" t="s">
        <v>19</v>
      </c>
      <c r="G36" s="6">
        <v>733842</v>
      </c>
    </row>
    <row r="37" spans="3:7" x14ac:dyDescent="0.3">
      <c r="C37" s="2" t="s">
        <v>31</v>
      </c>
      <c r="D37" s="6">
        <v>140393</v>
      </c>
      <c r="F37" s="2" t="s">
        <v>13</v>
      </c>
      <c r="G37" s="6">
        <v>329862</v>
      </c>
    </row>
    <row r="38" spans="3:7" x14ac:dyDescent="0.3">
      <c r="C38" s="2" t="s">
        <v>32</v>
      </c>
      <c r="D38" s="6">
        <v>150346</v>
      </c>
      <c r="F38" s="2" t="s">
        <v>17</v>
      </c>
      <c r="G38" s="6">
        <v>297372</v>
      </c>
    </row>
    <row r="39" spans="3:7" x14ac:dyDescent="0.3">
      <c r="C39" s="2" t="s">
        <v>33</v>
      </c>
      <c r="D39" s="6">
        <v>157913</v>
      </c>
      <c r="F39" s="2" t="s">
        <v>16</v>
      </c>
      <c r="G39" s="6">
        <v>212281</v>
      </c>
    </row>
    <row r="40" spans="3:7" x14ac:dyDescent="0.3">
      <c r="C40" s="2" t="s">
        <v>34</v>
      </c>
      <c r="D40" s="6">
        <v>135826</v>
      </c>
      <c r="F40" s="2" t="s">
        <v>15</v>
      </c>
      <c r="G40" s="6">
        <v>201151</v>
      </c>
    </row>
    <row r="41" spans="3:7" x14ac:dyDescent="0.3">
      <c r="C41" s="2" t="s">
        <v>35</v>
      </c>
      <c r="D41" s="6">
        <v>737389</v>
      </c>
      <c r="F41" s="2" t="s">
        <v>1</v>
      </c>
      <c r="G41" s="7">
        <v>3520984</v>
      </c>
    </row>
    <row r="42" spans="3:7" x14ac:dyDescent="0.3">
      <c r="C42" s="2" t="s">
        <v>36</v>
      </c>
      <c r="D42" s="6">
        <v>136938</v>
      </c>
    </row>
    <row r="43" spans="3:7" x14ac:dyDescent="0.3">
      <c r="C43" s="2" t="s">
        <v>37</v>
      </c>
      <c r="D43" s="6">
        <v>151619</v>
      </c>
    </row>
    <row r="44" spans="3:7" x14ac:dyDescent="0.3">
      <c r="C44" s="2" t="s">
        <v>38</v>
      </c>
      <c r="D44" s="6">
        <v>449169</v>
      </c>
    </row>
    <row r="45" spans="3:7" x14ac:dyDescent="0.3">
      <c r="C45" s="2" t="s">
        <v>39</v>
      </c>
      <c r="D45" s="6">
        <v>149591</v>
      </c>
    </row>
    <row r="46" spans="3:7" x14ac:dyDescent="0.3">
      <c r="C46" s="2" t="s">
        <v>1</v>
      </c>
      <c r="D46" s="7">
        <v>3520984</v>
      </c>
    </row>
    <row r="53" spans="3:11" x14ac:dyDescent="0.3">
      <c r="C53" s="3" t="s">
        <v>0</v>
      </c>
      <c r="D53" s="2" t="s">
        <v>3</v>
      </c>
      <c r="F53" s="3" t="s">
        <v>0</v>
      </c>
      <c r="G53" s="2" t="s">
        <v>4</v>
      </c>
    </row>
    <row r="54" spans="3:11" x14ac:dyDescent="0.3">
      <c r="C54" s="2" t="s">
        <v>47</v>
      </c>
      <c r="D54" s="7">
        <v>29</v>
      </c>
      <c r="F54" s="2" t="s">
        <v>8</v>
      </c>
      <c r="G54" s="6">
        <v>97665</v>
      </c>
      <c r="J54" s="3" t="s">
        <v>0</v>
      </c>
      <c r="K54" s="2" t="s">
        <v>4</v>
      </c>
    </row>
    <row r="55" spans="3:11" x14ac:dyDescent="0.3">
      <c r="C55" s="2" t="s">
        <v>43</v>
      </c>
      <c r="D55" s="7">
        <v>28</v>
      </c>
      <c r="F55" s="2" t="s">
        <v>9</v>
      </c>
      <c r="G55" s="6">
        <v>106624</v>
      </c>
      <c r="J55" s="2">
        <v>0</v>
      </c>
      <c r="K55" s="6">
        <v>99400</v>
      </c>
    </row>
    <row r="56" spans="3:11" x14ac:dyDescent="0.3">
      <c r="C56" s="2" t="s">
        <v>48</v>
      </c>
      <c r="D56" s="7">
        <v>27</v>
      </c>
      <c r="F56" s="2" t="s">
        <v>10</v>
      </c>
      <c r="G56" s="6">
        <v>101556</v>
      </c>
      <c r="J56" s="2">
        <v>1</v>
      </c>
      <c r="K56" s="6">
        <v>129309</v>
      </c>
    </row>
    <row r="57" spans="3:11" x14ac:dyDescent="0.3">
      <c r="C57" s="2" t="s">
        <v>46</v>
      </c>
      <c r="D57" s="7">
        <v>24</v>
      </c>
      <c r="F57" s="2" t="s">
        <v>11</v>
      </c>
      <c r="G57" s="6">
        <v>121905</v>
      </c>
      <c r="J57" s="2">
        <v>2</v>
      </c>
      <c r="K57" s="6">
        <v>152940</v>
      </c>
    </row>
    <row r="58" spans="3:11" x14ac:dyDescent="0.3">
      <c r="C58" s="2" t="s">
        <v>41</v>
      </c>
      <c r="D58" s="7">
        <v>21</v>
      </c>
      <c r="F58" s="2" t="s">
        <v>12</v>
      </c>
      <c r="G58" s="6">
        <v>114476</v>
      </c>
      <c r="J58" s="2">
        <v>3</v>
      </c>
      <c r="K58" s="6">
        <v>146810</v>
      </c>
    </row>
    <row r="59" spans="3:11" x14ac:dyDescent="0.3">
      <c r="C59" s="2" t="s">
        <v>44</v>
      </c>
      <c r="D59" s="7">
        <v>21</v>
      </c>
      <c r="F59" s="2" t="s">
        <v>1</v>
      </c>
      <c r="G59" s="7">
        <v>542226</v>
      </c>
      <c r="J59" s="2">
        <v>4</v>
      </c>
      <c r="K59" s="6">
        <v>114700</v>
      </c>
    </row>
    <row r="60" spans="3:11" x14ac:dyDescent="0.3">
      <c r="C60" s="2" t="s">
        <v>45</v>
      </c>
      <c r="D60" s="7">
        <v>20</v>
      </c>
      <c r="J60" s="2">
        <v>5</v>
      </c>
      <c r="K60" s="6">
        <v>156198</v>
      </c>
    </row>
    <row r="61" spans="3:11" x14ac:dyDescent="0.3">
      <c r="C61" s="2" t="s">
        <v>49</v>
      </c>
      <c r="D61" s="7">
        <v>19</v>
      </c>
      <c r="J61" s="2">
        <v>6</v>
      </c>
      <c r="K61" s="6">
        <v>177211</v>
      </c>
    </row>
    <row r="62" spans="3:11" x14ac:dyDescent="0.3">
      <c r="C62" s="2" t="s">
        <v>42</v>
      </c>
      <c r="D62" s="7">
        <v>18</v>
      </c>
      <c r="J62" s="2">
        <v>7</v>
      </c>
      <c r="K62" s="6">
        <v>147749</v>
      </c>
    </row>
    <row r="63" spans="3:11" x14ac:dyDescent="0.3">
      <c r="C63" s="2" t="s">
        <v>40</v>
      </c>
      <c r="D63" s="7">
        <v>18</v>
      </c>
      <c r="J63" s="2">
        <v>8</v>
      </c>
      <c r="K63" s="6">
        <v>133617</v>
      </c>
    </row>
    <row r="64" spans="3:11" x14ac:dyDescent="0.3">
      <c r="C64" s="2" t="s">
        <v>1</v>
      </c>
      <c r="D64" s="7">
        <v>225</v>
      </c>
      <c r="J64" s="2">
        <v>9</v>
      </c>
      <c r="K64" s="6">
        <v>153678</v>
      </c>
    </row>
    <row r="65" spans="10:11" x14ac:dyDescent="0.3">
      <c r="J65" s="2">
        <v>10</v>
      </c>
      <c r="K65" s="6">
        <v>94985</v>
      </c>
    </row>
    <row r="66" spans="10:11" x14ac:dyDescent="0.3">
      <c r="J66" s="2">
        <v>11</v>
      </c>
      <c r="K66" s="6">
        <v>130287</v>
      </c>
    </row>
    <row r="67" spans="10:11" x14ac:dyDescent="0.3">
      <c r="J67" s="2">
        <v>12</v>
      </c>
      <c r="K67" s="6">
        <v>162394</v>
      </c>
    </row>
    <row r="68" spans="10:11" x14ac:dyDescent="0.3">
      <c r="J68" s="2">
        <v>13</v>
      </c>
      <c r="K68" s="6">
        <v>152340</v>
      </c>
    </row>
    <row r="69" spans="10:11" x14ac:dyDescent="0.3">
      <c r="J69" s="2">
        <v>14</v>
      </c>
      <c r="K69" s="6">
        <v>126406</v>
      </c>
    </row>
    <row r="70" spans="10:11" x14ac:dyDescent="0.3">
      <c r="J70" s="2">
        <v>15</v>
      </c>
      <c r="K70" s="6">
        <v>163586</v>
      </c>
    </row>
    <row r="71" spans="10:11" x14ac:dyDescent="0.3">
      <c r="J71" s="2">
        <v>16</v>
      </c>
      <c r="K71" s="6">
        <v>128797</v>
      </c>
    </row>
    <row r="72" spans="10:11" x14ac:dyDescent="0.3">
      <c r="J72" s="2">
        <v>17</v>
      </c>
      <c r="K72" s="6">
        <v>155373</v>
      </c>
    </row>
    <row r="73" spans="10:11" x14ac:dyDescent="0.3">
      <c r="J73" s="2">
        <v>18</v>
      </c>
      <c r="K73" s="6">
        <v>173118</v>
      </c>
    </row>
    <row r="74" spans="10:11" x14ac:dyDescent="0.3">
      <c r="J74" s="2">
        <v>19</v>
      </c>
      <c r="K74" s="6">
        <v>185771</v>
      </c>
    </row>
    <row r="75" spans="10:11" x14ac:dyDescent="0.3">
      <c r="J75" s="2">
        <v>20</v>
      </c>
      <c r="K75" s="6">
        <v>186426</v>
      </c>
    </row>
    <row r="76" spans="10:11" x14ac:dyDescent="0.3">
      <c r="J76" s="2">
        <v>21</v>
      </c>
      <c r="K76" s="6">
        <v>155466</v>
      </c>
    </row>
    <row r="77" spans="10:11" x14ac:dyDescent="0.3">
      <c r="J77" s="2">
        <v>22</v>
      </c>
      <c r="K77" s="6">
        <v>125912</v>
      </c>
    </row>
    <row r="78" spans="10:11" x14ac:dyDescent="0.3">
      <c r="J78" s="2">
        <v>23</v>
      </c>
      <c r="K78" s="6">
        <v>168511</v>
      </c>
    </row>
    <row r="79" spans="10:11" x14ac:dyDescent="0.3">
      <c r="J79" s="2" t="s">
        <v>1</v>
      </c>
      <c r="K79" s="7">
        <v>3520984</v>
      </c>
    </row>
  </sheetData>
  <mergeCells count="1">
    <mergeCell ref="C8:F9"/>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C8E5EB-C8AA-4FB4-BE45-B94283D6865C}">
  <dimension ref="A1"/>
  <sheetViews>
    <sheetView showGridLines="0" tabSelected="1" zoomScale="70" zoomScaleNormal="70" workbookViewId="0">
      <selection activeCell="L44" sqref="L44"/>
    </sheetView>
  </sheetViews>
  <sheetFormatPr defaultRowHeight="14.4"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_rels/item25.xml.rels><?xml version="1.0" encoding="UTF-8" standalone="yes"?>
<Relationships xmlns="http://schemas.openxmlformats.org/package/2006/relationships"><Relationship Id="rId1" Type="http://schemas.openxmlformats.org/officeDocument/2006/relationships/customXmlProps" Target="itemProps25.xml"/></Relationships>
</file>

<file path=customXml/_rels/item26.xml.rels><?xml version="1.0" encoding="UTF-8" standalone="yes"?>
<Relationships xmlns="http://schemas.openxmlformats.org/package/2006/relationships"><Relationship Id="rId1" Type="http://schemas.openxmlformats.org/officeDocument/2006/relationships/customXmlProps" Target="itemProps26.xml"/></Relationships>
</file>

<file path=customXml/_rels/item27.xml.rels><?xml version="1.0" encoding="UTF-8" standalone="yes"?>
<Relationships xmlns="http://schemas.openxmlformats.org/package/2006/relationships"><Relationship Id="rId1" Type="http://schemas.openxmlformats.org/officeDocument/2006/relationships/customXmlProps" Target="itemProps27.xml"/></Relationships>
</file>

<file path=customXml/_rels/item28.xml.rels><?xml version="1.0" encoding="UTF-8" standalone="yes"?>
<Relationships xmlns="http://schemas.openxmlformats.org/package/2006/relationships"><Relationship Id="rId1" Type="http://schemas.openxmlformats.org/officeDocument/2006/relationships/customXmlProps" Target="itemProps28.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24.xml>��
</file>

<file path=customXml/item25.xml>��
</file>

<file path=customXml/item26.xml>��
</file>

<file path=customXml/item27.xml>��
</file>

<file path=customXml/item28.xml>��
</file>

<file path=customXml/itemProps1.xml><?xml version="1.0" encoding="utf-8"?>
<ds:datastoreItem xmlns:ds="http://schemas.openxmlformats.org/officeDocument/2006/customXml" ds:itemID="{ACA2E345-3EAA-4292-BE71-46122F29844F}">
  <ds:schemaRefs/>
</ds:datastoreItem>
</file>

<file path=customXml/itemProps2.xml><?xml version="1.0" encoding="utf-8"?>
<ds:datastoreItem xmlns:ds="http://schemas.openxmlformats.org/officeDocument/2006/customXml" ds:itemID="{97AD2D54-AFB5-4084-BD55-D13B68EA5DC6}">
  <ds:schemaRefs/>
</ds:datastoreItem>
</file>

<file path=customXml/itemProps3.xml><?xml version="1.0" encoding="utf-8"?>
<ds:datastoreItem xmlns:ds="http://schemas.openxmlformats.org/officeDocument/2006/customXml" ds:itemID="{7DEC6432-15A4-486B-B425-8FB302A03FF2}">
  <ds:schemaRefs/>
</ds:datastoreItem>
</file>

<file path=customXml/itemProps4.xml><?xml version="1.0" encoding="utf-8"?>
<ds:datastoreItem xmlns:ds="http://schemas.openxmlformats.org/officeDocument/2006/customXml" ds:itemID="{96B7057D-1C49-44DE-954D-A7734859B7D7}">
  <ds:schemaRefs/>
</ds:datastoreItem>
</file>

<file path=customXml/itemProps5.xml><?xml version="1.0" encoding="utf-8"?>
<ds:datastoreItem xmlns:ds="http://schemas.openxmlformats.org/officeDocument/2006/customXml" ds:itemID="{FCD26DEE-2D59-4355-BC02-D6B72ADB5B51}">
  <ds:schemaRefs/>
</ds:datastoreItem>
</file>

<file path=customXml/itemProps6.xml><?xml version="1.0" encoding="utf-8"?>
<ds:datastoreItem xmlns:ds="http://schemas.openxmlformats.org/officeDocument/2006/customXml" ds:itemID="{E94755DA-A0A3-42AD-B5E9-3ED0636AF58C}">
  <ds:schemaRefs/>
</ds:datastoreItem>
</file>

<file path=customXml/itemProps7.xml><?xml version="1.0" encoding="utf-8"?>
<ds:datastoreItem xmlns:ds="http://schemas.openxmlformats.org/officeDocument/2006/customXml" ds:itemID="{D70CD7B8-893C-4B9C-B80C-280750565460}">
  <ds:schemaRefs/>
</ds:datastoreItem>
</file>

<file path=customXml/itemProps8.xml><?xml version="1.0" encoding="utf-8"?>
<ds:datastoreItem xmlns:ds="http://schemas.openxmlformats.org/officeDocument/2006/customXml" ds:itemID="{C48032C2-EBFA-4881-B28C-3A1373277815}">
  <ds:schemaRefs/>
</ds:datastoreItem>
</file>

<file path=customXml/itemProps9.xml><?xml version="1.0" encoding="utf-8"?>
<ds:datastoreItem xmlns:ds="http://schemas.openxmlformats.org/officeDocument/2006/customXml" ds:itemID="{8B0FD93C-99D5-4B59-8450-93C5C71A83DD}">
  <ds:schemaRefs/>
</ds:datastoreItem>
</file>

<file path=customXml/itemProps10.xml><?xml version="1.0" encoding="utf-8"?>
<ds:datastoreItem xmlns:ds="http://schemas.openxmlformats.org/officeDocument/2006/customXml" ds:itemID="{279EF0F8-D261-444E-B187-EA8AF5ACC534}">
  <ds:schemaRefs/>
</ds:datastoreItem>
</file>

<file path=customXml/itemProps11.xml><?xml version="1.0" encoding="utf-8"?>
<ds:datastoreItem xmlns:ds="http://schemas.openxmlformats.org/officeDocument/2006/customXml" ds:itemID="{17364501-2B05-4DB3-9C75-11CB9FDB0596}">
  <ds:schemaRefs/>
</ds:datastoreItem>
</file>

<file path=customXml/itemProps12.xml><?xml version="1.0" encoding="utf-8"?>
<ds:datastoreItem xmlns:ds="http://schemas.openxmlformats.org/officeDocument/2006/customXml" ds:itemID="{8764DFA3-7088-4E5C-8F06-765D4BE225CD}">
  <ds:schemaRefs/>
</ds:datastoreItem>
</file>

<file path=customXml/itemProps13.xml><?xml version="1.0" encoding="utf-8"?>
<ds:datastoreItem xmlns:ds="http://schemas.openxmlformats.org/officeDocument/2006/customXml" ds:itemID="{7413C011-962E-494D-B987-23D1EEBFC1F6}">
  <ds:schemaRefs/>
</ds:datastoreItem>
</file>

<file path=customXml/itemProps14.xml><?xml version="1.0" encoding="utf-8"?>
<ds:datastoreItem xmlns:ds="http://schemas.openxmlformats.org/officeDocument/2006/customXml" ds:itemID="{47E8CEF1-965F-4622-BD02-23A8CC91F49B}">
  <ds:schemaRefs/>
</ds:datastoreItem>
</file>

<file path=customXml/itemProps15.xml><?xml version="1.0" encoding="utf-8"?>
<ds:datastoreItem xmlns:ds="http://schemas.openxmlformats.org/officeDocument/2006/customXml" ds:itemID="{BBD612C4-30DA-4C72-B30C-04D34512C1DD}">
  <ds:schemaRefs/>
</ds:datastoreItem>
</file>

<file path=customXml/itemProps16.xml><?xml version="1.0" encoding="utf-8"?>
<ds:datastoreItem xmlns:ds="http://schemas.openxmlformats.org/officeDocument/2006/customXml" ds:itemID="{CE19ADD4-3D53-4BC9-9723-1AA40A53E2C7}">
  <ds:schemaRefs/>
</ds:datastoreItem>
</file>

<file path=customXml/itemProps17.xml><?xml version="1.0" encoding="utf-8"?>
<ds:datastoreItem xmlns:ds="http://schemas.openxmlformats.org/officeDocument/2006/customXml" ds:itemID="{ACC85E17-FFC3-486A-A2AC-FC8982C52067}">
  <ds:schemaRefs/>
</ds:datastoreItem>
</file>

<file path=customXml/itemProps18.xml><?xml version="1.0" encoding="utf-8"?>
<ds:datastoreItem xmlns:ds="http://schemas.openxmlformats.org/officeDocument/2006/customXml" ds:itemID="{A5365615-7309-4E61-BD3D-CFA0258C8CAF}">
  <ds:schemaRefs/>
</ds:datastoreItem>
</file>

<file path=customXml/itemProps19.xml><?xml version="1.0" encoding="utf-8"?>
<ds:datastoreItem xmlns:ds="http://schemas.openxmlformats.org/officeDocument/2006/customXml" ds:itemID="{6D2D8560-45BF-4EB5-9206-C0E451D67CBA}">
  <ds:schemaRefs/>
</ds:datastoreItem>
</file>

<file path=customXml/itemProps20.xml><?xml version="1.0" encoding="utf-8"?>
<ds:datastoreItem xmlns:ds="http://schemas.openxmlformats.org/officeDocument/2006/customXml" ds:itemID="{F9F0955B-B35F-4201-82CB-6121C7E39437}">
  <ds:schemaRefs/>
</ds:datastoreItem>
</file>

<file path=customXml/itemProps21.xml><?xml version="1.0" encoding="utf-8"?>
<ds:datastoreItem xmlns:ds="http://schemas.openxmlformats.org/officeDocument/2006/customXml" ds:itemID="{6DA2CD12-2D33-4700-BD86-C284C45D7BD2}">
  <ds:schemaRefs>
    <ds:schemaRef ds:uri="http://schemas.microsoft.com/DataMashup"/>
  </ds:schemaRefs>
</ds:datastoreItem>
</file>

<file path=customXml/itemProps22.xml><?xml version="1.0" encoding="utf-8"?>
<ds:datastoreItem xmlns:ds="http://schemas.openxmlformats.org/officeDocument/2006/customXml" ds:itemID="{958B9A07-C7B5-4B9A-AA9A-495C2CE29DBA}">
  <ds:schemaRefs/>
</ds:datastoreItem>
</file>

<file path=customXml/itemProps23.xml><?xml version="1.0" encoding="utf-8"?>
<ds:datastoreItem xmlns:ds="http://schemas.openxmlformats.org/officeDocument/2006/customXml" ds:itemID="{362CEDCC-6821-491C-A86C-9D8CACBF4CF5}">
  <ds:schemaRefs/>
</ds:datastoreItem>
</file>

<file path=customXml/itemProps24.xml><?xml version="1.0" encoding="utf-8"?>
<ds:datastoreItem xmlns:ds="http://schemas.openxmlformats.org/officeDocument/2006/customXml" ds:itemID="{2BF5EFF1-2E8C-47DD-810E-42D6B83426F1}">
  <ds:schemaRefs/>
</ds:datastoreItem>
</file>

<file path=customXml/itemProps25.xml><?xml version="1.0" encoding="utf-8"?>
<ds:datastoreItem xmlns:ds="http://schemas.openxmlformats.org/officeDocument/2006/customXml" ds:itemID="{38EA335F-C7DC-4091-9738-03C1F1DD2EDE}">
  <ds:schemaRefs/>
</ds:datastoreItem>
</file>

<file path=customXml/itemProps26.xml><?xml version="1.0" encoding="utf-8"?>
<ds:datastoreItem xmlns:ds="http://schemas.openxmlformats.org/officeDocument/2006/customXml" ds:itemID="{9D44A793-C5FA-461E-9A41-F9D53041F894}">
  <ds:schemaRefs/>
</ds:datastoreItem>
</file>

<file path=customXml/itemProps27.xml><?xml version="1.0" encoding="utf-8"?>
<ds:datastoreItem xmlns:ds="http://schemas.openxmlformats.org/officeDocument/2006/customXml" ds:itemID="{14A26746-5ACE-4AD8-907C-EDF10CD5316D}">
  <ds:schemaRefs/>
</ds:datastoreItem>
</file>

<file path=customXml/itemProps28.xml><?xml version="1.0" encoding="utf-8"?>
<ds:datastoreItem xmlns:ds="http://schemas.openxmlformats.org/officeDocument/2006/customXml" ds:itemID="{37D9B7CD-8D05-4D14-8CE2-9097D899DED7}">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Analysis</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Mahesh Mahajan</dc:creator>
  <cp:lastModifiedBy>Mahesh Mahajan</cp:lastModifiedBy>
  <dcterms:created xsi:type="dcterms:W3CDTF">2026-02-13T16:47:43Z</dcterms:created>
  <dcterms:modified xsi:type="dcterms:W3CDTF">2026-02-18T19:34:50Z</dcterms:modified>
</cp:coreProperties>
</file>